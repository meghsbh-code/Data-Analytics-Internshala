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now/Downloads/"/>
    </mc:Choice>
  </mc:AlternateContent>
  <xr:revisionPtr revIDLastSave="0" documentId="8_{D921FBF3-3371-BF42-B076-965185A78E5A}" xr6:coauthVersionLast="47" xr6:coauthVersionMax="47" xr10:uidLastSave="{00000000-0000-0000-0000-000000000000}"/>
  <bookViews>
    <workbookView xWindow="0" yWindow="500" windowWidth="28800" windowHeight="16280" activeTab="6" xr2:uid="{7B5AC036-0392-F547-B692-E590D9666756}"/>
  </bookViews>
  <sheets>
    <sheet name="Posts" sheetId="2" r:id="rId1"/>
    <sheet name="Engagement Summary" sheetId="3" r:id="rId2"/>
    <sheet name="Campaign Metadata" sheetId="4" r:id="rId3"/>
    <sheet name="Task 2" sheetId="1" r:id="rId4"/>
    <sheet name="Task 3" sheetId="6" r:id="rId5"/>
    <sheet name="Task 4" sheetId="7" r:id="rId6"/>
    <sheet name="Task 5" sheetId="10" r:id="rId7"/>
    <sheet name="Task 6" sheetId="8" r:id="rId8"/>
  </sheets>
  <definedNames>
    <definedName name="ExternalData_1" localSheetId="0" hidden="1">Posts!$A$1:$M$340</definedName>
    <definedName name="ExternalData_2" localSheetId="1" hidden="1">'Engagement Summary'!$A$1:$G$1000</definedName>
    <definedName name="ExternalData_3" localSheetId="2" hidden="1">'Campaign Metadata'!$A$1:$G$8</definedName>
  </definedNames>
  <calcPr calcId="191029" iterateDelta="1E-4"/>
  <pivotCaches>
    <pivotCache cacheId="53" r:id="rId9"/>
    <pivotCache cacheId="5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8" l="1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G24" i="10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O34" i="1"/>
  <c r="O33" i="1"/>
  <c r="O32" i="1"/>
  <c r="O31" i="1"/>
  <c r="O30" i="1"/>
  <c r="O29" i="1"/>
  <c r="O28" i="1"/>
  <c r="O27" i="1"/>
  <c r="O26" i="1"/>
  <c r="O25" i="1"/>
  <c r="N203" i="2"/>
  <c r="N204" i="2"/>
  <c r="N269" i="2"/>
  <c r="N270" i="2"/>
  <c r="N338" i="2"/>
  <c r="N102" i="2"/>
  <c r="N305" i="2"/>
  <c r="N306" i="2"/>
  <c r="N69" i="2"/>
  <c r="N297" i="2"/>
  <c r="N177" i="2"/>
  <c r="N211" i="2"/>
  <c r="N290" i="2"/>
  <c r="N158" i="2"/>
  <c r="N135" i="2"/>
  <c r="N272" i="2"/>
  <c r="N103" i="2"/>
  <c r="N326" i="2"/>
  <c r="N273" i="2"/>
  <c r="N195" i="2"/>
  <c r="N179" i="2"/>
  <c r="N182" i="2"/>
  <c r="N314" i="2"/>
  <c r="N265" i="2"/>
  <c r="N254" i="2"/>
  <c r="N266" i="2"/>
  <c r="N267" i="2"/>
  <c r="N288" i="2"/>
  <c r="N325" i="2"/>
  <c r="N207" i="2"/>
  <c r="N293" i="2"/>
  <c r="N75" i="2"/>
  <c r="N49" i="2"/>
  <c r="N333" i="2"/>
  <c r="N25" i="2"/>
  <c r="N63" i="2"/>
  <c r="N137" i="2"/>
  <c r="N296" i="2"/>
  <c r="N155" i="2"/>
  <c r="N268" i="2"/>
  <c r="N71" i="2"/>
  <c r="N138" i="2"/>
  <c r="N286" i="2"/>
  <c r="N112" i="2"/>
  <c r="N67" i="2"/>
  <c r="N44" i="2"/>
  <c r="N45" i="2"/>
  <c r="N189" i="2"/>
  <c r="N275" i="2"/>
  <c r="N76" i="2"/>
  <c r="N82" i="2"/>
  <c r="N279" i="2"/>
  <c r="N174" i="2"/>
  <c r="N123" i="2"/>
  <c r="N261" i="2"/>
  <c r="N94" i="2"/>
  <c r="N13" i="2"/>
  <c r="N14" i="2"/>
  <c r="N86" i="2"/>
  <c r="N200" i="2"/>
  <c r="N133" i="2"/>
  <c r="N252" i="2"/>
  <c r="N3" i="2"/>
  <c r="N198" i="2"/>
  <c r="N87" i="2"/>
  <c r="N88" i="2"/>
  <c r="N89" i="2"/>
  <c r="N109" i="2"/>
  <c r="N7" i="2"/>
  <c r="N340" i="2"/>
  <c r="N249" i="2"/>
  <c r="N151" i="2"/>
  <c r="N23" i="2"/>
  <c r="N315" i="2"/>
  <c r="N61" i="2"/>
  <c r="N197" i="2"/>
  <c r="N11" i="2"/>
  <c r="N150" i="2"/>
  <c r="N210" i="2"/>
  <c r="N312" i="2"/>
  <c r="N126" i="2"/>
  <c r="N148" i="2"/>
  <c r="N251" i="2"/>
  <c r="N53" i="2"/>
  <c r="N248" i="2"/>
  <c r="N209" i="2"/>
  <c r="N262" i="2"/>
  <c r="N194" i="2"/>
  <c r="N227" i="2"/>
  <c r="N228" i="2"/>
  <c r="N229" i="2"/>
  <c r="N90" i="2"/>
  <c r="N219" i="2"/>
  <c r="N62" i="2"/>
  <c r="N307" i="2"/>
  <c r="N308" i="2"/>
  <c r="N51" i="2"/>
  <c r="N121" i="2"/>
  <c r="N77" i="2"/>
  <c r="N295" i="2"/>
  <c r="N259" i="2"/>
  <c r="N120" i="2"/>
  <c r="N26" i="2"/>
  <c r="N78" i="2"/>
  <c r="N301" i="2"/>
  <c r="N178" i="2"/>
  <c r="N216" i="2"/>
  <c r="N217" i="2"/>
  <c r="N164" i="2"/>
  <c r="N289" i="2"/>
  <c r="N199" i="2"/>
  <c r="N278" i="2"/>
  <c r="N15" i="2"/>
  <c r="N185" i="2"/>
  <c r="N115" i="2"/>
  <c r="N134" i="2"/>
  <c r="N226" i="2"/>
  <c r="N320" i="2"/>
  <c r="N183" i="2"/>
  <c r="N81" i="2"/>
  <c r="N146" i="2"/>
  <c r="N277" i="2"/>
  <c r="N73" i="2"/>
  <c r="N162" i="2"/>
  <c r="N132" i="2"/>
  <c r="N321" i="2"/>
  <c r="N322" i="2"/>
  <c r="N79" i="2"/>
  <c r="N156" i="2"/>
  <c r="N255" i="2"/>
  <c r="N20" i="2"/>
  <c r="N40" i="2"/>
  <c r="N17" i="2"/>
  <c r="N253" i="2"/>
  <c r="N39" i="2"/>
  <c r="N16" i="2"/>
  <c r="N110" i="2"/>
  <c r="N184" i="2"/>
  <c r="N299" i="2"/>
  <c r="N140" i="2"/>
  <c r="N74" i="2"/>
  <c r="N208" i="2"/>
  <c r="N128" i="2"/>
  <c r="N124" i="2"/>
  <c r="N292" i="2"/>
  <c r="N294" i="2"/>
  <c r="N311" i="2"/>
  <c r="N54" i="2"/>
  <c r="N50" i="2"/>
  <c r="N91" i="2"/>
  <c r="N196" i="2"/>
  <c r="N95" i="2"/>
  <c r="N96" i="2"/>
  <c r="N41" i="2"/>
  <c r="N298" i="2"/>
  <c r="N9" i="2"/>
  <c r="N309" i="2"/>
  <c r="N336" i="2"/>
  <c r="N47" i="2"/>
  <c r="N48" i="2"/>
  <c r="N101" i="2"/>
  <c r="N57" i="2"/>
  <c r="N264" i="2"/>
  <c r="N316" i="2"/>
  <c r="N169" i="2"/>
  <c r="N59" i="2"/>
  <c r="N70" i="2"/>
  <c r="N19" i="2"/>
  <c r="N160" i="2"/>
  <c r="N170" i="2"/>
  <c r="N171" i="2"/>
  <c r="N163" i="2"/>
  <c r="N46" i="2"/>
  <c r="N202" i="2"/>
  <c r="N159" i="2"/>
  <c r="N220" i="2"/>
  <c r="N42" i="2"/>
  <c r="N98" i="2"/>
  <c r="N99" i="2"/>
  <c r="N97" i="2"/>
  <c r="N106" i="2"/>
  <c r="N188" i="2"/>
  <c r="N276" i="2"/>
  <c r="N141" i="2"/>
  <c r="N300" i="2"/>
  <c r="N190" i="2"/>
  <c r="N283" i="2"/>
  <c r="N105" i="2"/>
  <c r="N114" i="2"/>
  <c r="N6" i="2"/>
  <c r="N339" i="2"/>
  <c r="N201" i="2"/>
  <c r="N5" i="2"/>
  <c r="N274" i="2"/>
  <c r="N206" i="2"/>
  <c r="N37" i="2"/>
  <c r="N180" i="2"/>
  <c r="N24" i="2"/>
  <c r="N119" i="2"/>
  <c r="N193" i="2"/>
  <c r="N232" i="2"/>
  <c r="N236" i="2"/>
  <c r="N231" i="2"/>
  <c r="N285" i="2"/>
  <c r="N337" i="2"/>
  <c r="N186" i="2"/>
  <c r="N104" i="2"/>
  <c r="N187" i="2"/>
  <c r="N233" i="2"/>
  <c r="N116" i="2"/>
  <c r="N117" i="2"/>
  <c r="N118" i="2"/>
  <c r="N139" i="2"/>
  <c r="N310" i="2"/>
  <c r="N58" i="2"/>
  <c r="N230" i="2"/>
  <c r="N319" i="2"/>
  <c r="N205" i="2"/>
  <c r="N247" i="2"/>
  <c r="N334" i="2"/>
  <c r="N22" i="2"/>
  <c r="N175" i="2"/>
  <c r="N176" i="2"/>
  <c r="N172" i="2"/>
  <c r="N107" i="2"/>
  <c r="N108" i="2"/>
  <c r="N221" i="2"/>
  <c r="N244" i="2"/>
  <c r="N245" i="2"/>
  <c r="N10" i="2"/>
  <c r="N65" i="2"/>
  <c r="N145" i="2"/>
  <c r="N246" i="2"/>
  <c r="N12" i="2"/>
  <c r="N287" i="2"/>
  <c r="N330" i="2"/>
  <c r="N318" i="2"/>
  <c r="N64" i="2"/>
  <c r="N31" i="2"/>
  <c r="N2" i="2"/>
  <c r="N92" i="2"/>
  <c r="N166" i="2"/>
  <c r="N167" i="2"/>
  <c r="N323" i="2"/>
  <c r="N18" i="2"/>
  <c r="N335" i="2"/>
  <c r="N32" i="2"/>
  <c r="N165" i="2"/>
  <c r="N250" i="2"/>
  <c r="N125" i="2"/>
  <c r="N263" i="2"/>
  <c r="N225" i="2"/>
  <c r="N4" i="2"/>
  <c r="N282" i="2"/>
  <c r="N271" i="2"/>
  <c r="N136" i="2"/>
  <c r="N129" i="2"/>
  <c r="N130" i="2"/>
  <c r="N131" i="2"/>
  <c r="N303" i="2"/>
  <c r="N284" i="2"/>
  <c r="N34" i="2"/>
  <c r="N222" i="2"/>
  <c r="N223" i="2"/>
  <c r="N224" i="2"/>
  <c r="N72" i="2"/>
  <c r="N66" i="2"/>
  <c r="N192" i="2"/>
  <c r="N29" i="2"/>
  <c r="N147" i="2"/>
  <c r="N38" i="2"/>
  <c r="N152" i="2"/>
  <c r="N153" i="2"/>
  <c r="N154" i="2"/>
  <c r="N28" i="2"/>
  <c r="N215" i="2"/>
  <c r="N280" i="2"/>
  <c r="N157" i="2"/>
  <c r="N93" i="2"/>
  <c r="N218" i="2"/>
  <c r="N127" i="2"/>
  <c r="N149" i="2"/>
  <c r="N332" i="2"/>
  <c r="N256" i="2"/>
  <c r="N257" i="2"/>
  <c r="N258" i="2"/>
  <c r="N55" i="2"/>
  <c r="N30" i="2"/>
  <c r="N212" i="2"/>
  <c r="N213" i="2"/>
  <c r="N214" i="2"/>
  <c r="N243" i="2"/>
  <c r="N100" i="2"/>
  <c r="N27" i="2"/>
  <c r="N8" i="2"/>
  <c r="N33" i="2"/>
  <c r="N181" i="2"/>
  <c r="N313" i="2"/>
  <c r="N234" i="2"/>
  <c r="N43" i="2"/>
  <c r="N304" i="2"/>
  <c r="N52" i="2"/>
  <c r="N111" i="2"/>
  <c r="N191" i="2"/>
  <c r="N260" i="2"/>
  <c r="N80" i="2"/>
  <c r="N56" i="2"/>
  <c r="N35" i="2"/>
  <c r="N168" i="2"/>
  <c r="N324" i="2"/>
  <c r="N240" i="2"/>
  <c r="N241" i="2"/>
  <c r="N242" i="2"/>
  <c r="N317" i="2"/>
  <c r="N173" i="2"/>
  <c r="N331" i="2"/>
  <c r="N161" i="2"/>
  <c r="N122" i="2"/>
  <c r="N60" i="2"/>
  <c r="N21" i="2"/>
  <c r="N302" i="2"/>
  <c r="N281" i="2"/>
  <c r="N235" i="2"/>
  <c r="N291" i="2"/>
  <c r="N143" i="2"/>
  <c r="N144" i="2"/>
  <c r="N142" i="2"/>
  <c r="N68" i="2"/>
  <c r="N83" i="2"/>
  <c r="N84" i="2"/>
  <c r="N85" i="2"/>
  <c r="N327" i="2"/>
  <c r="N328" i="2"/>
  <c r="N36" i="2"/>
  <c r="N329" i="2"/>
  <c r="N113" i="2"/>
  <c r="N237" i="2"/>
  <c r="N238" i="2"/>
  <c r="N239" i="2"/>
  <c r="G26" i="10"/>
  <c r="H46" i="8"/>
  <c r="H47" i="8"/>
  <c r="H48" i="8"/>
  <c r="H40" i="8"/>
  <c r="H32" i="8"/>
  <c r="H24" i="8"/>
  <c r="H16" i="8"/>
  <c r="H8" i="8"/>
  <c r="H41" i="8"/>
  <c r="H31" i="8"/>
  <c r="H23" i="8"/>
  <c r="H15" i="8"/>
  <c r="H7" i="8"/>
  <c r="H44" i="8"/>
  <c r="H6" i="8"/>
  <c r="H52" i="8"/>
  <c r="H43" i="8"/>
  <c r="H30" i="8"/>
  <c r="H21" i="8"/>
  <c r="H5" i="8"/>
  <c r="H42" i="8"/>
  <c r="H37" i="8"/>
  <c r="H51" i="8"/>
  <c r="H36" i="8"/>
  <c r="H28" i="8"/>
  <c r="H20" i="8"/>
  <c r="H12" i="8"/>
  <c r="H4" i="8"/>
  <c r="H38" i="8"/>
  <c r="H35" i="8"/>
  <c r="H27" i="8"/>
  <c r="H19" i="8"/>
  <c r="H11" i="8"/>
  <c r="H3" i="8"/>
  <c r="H34" i="8"/>
  <c r="H18" i="8"/>
  <c r="H50" i="8"/>
  <c r="H25" i="8"/>
  <c r="H22" i="8"/>
  <c r="H29" i="8"/>
  <c r="H45" i="8"/>
  <c r="H39" i="8"/>
  <c r="H26" i="8"/>
  <c r="H10" i="8"/>
  <c r="H33" i="8"/>
  <c r="H17" i="8"/>
  <c r="H9" i="8"/>
  <c r="H49" i="8"/>
  <c r="H14" i="8"/>
  <c r="H13" i="8"/>
  <c r="H54" i="8" l="1"/>
  <c r="G29" i="10"/>
  <c r="J26" i="10"/>
  <c r="J27" i="10"/>
  <c r="J28" i="10"/>
  <c r="J25" i="10"/>
  <c r="J2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02CE9-C916-3741-9CF6-51252CFD7711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4EF92C62-1A76-E143-BDBA-604E6C7B02F8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75BBE5B-113F-7F43-A063-9F730E87C2D2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<sst xmlns="http://schemas.openxmlformats.org/spreadsheetml/2006/main" count="2618" uniqueCount="459">
  <si>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</si>
  <si>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</si>
  <si>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</si>
  <si>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</si>
  <si>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</si>
  <si>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</si>
  <si>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</si>
  <si>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</si>
  <si>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</si>
  <si>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</si>
  <si>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</si>
  <si>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</si>
  <si>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</si>
  <si>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</si>
  <si>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</si>
  <si>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</si>
  <si>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</si>
  <si>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</t>
  </si>
  <si>
    <t>Cyber Truck Launch</t>
  </si>
  <si>
    <t>#AnytimeIsTeslaTime</t>
  </si>
  <si>
    <t>P002</t>
  </si>
  <si>
    <t>Text</t>
  </si>
  <si>
    <t>Check out our latest text on twitter!</t>
  </si>
  <si>
    <t>#TeslaCoInnovation</t>
  </si>
  <si>
    <t>Model Y Campaign</t>
  </si>
  <si>
    <t>#BetterWithTesla</t>
  </si>
  <si>
    <t>P003</t>
  </si>
  <si>
    <t>YouTube</t>
  </si>
  <si>
    <t>Check out our latest reel on youtube!</t>
  </si>
  <si>
    <t>FSD Update</t>
  </si>
  <si>
    <t>P004</t>
  </si>
  <si>
    <t>Instagram</t>
  </si>
  <si>
    <t>Story</t>
  </si>
  <si>
    <t>Check out our latest story on instagram!</t>
  </si>
  <si>
    <t>#EVRevolution</t>
  </si>
  <si>
    <t>Sustainability 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</si>
  <si>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</si>
  <si>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</si>
  <si>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</si>
  <si>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</si>
  <si>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</si>
  <si>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</si>
  <si>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</si>
  <si>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</si>
  <si>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</si>
  <si>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</si>
  <si>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</si>
  <si>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</si>
  <si>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</si>
  <si>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</si>
  <si>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</si>
  <si>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</si>
  <si>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</si>
  <si>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</si>
  <si>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</si>
  <si>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</si>
  <si>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</si>
  <si>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N/A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</si>
  <si>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</si>
  <si>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</si>
  <si>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</si>
  <si>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</si>
  <si>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</si>
  <si>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</si>
  <si>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</si>
  <si>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</si>
  <si>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</si>
  <si>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</si>
  <si>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</si>
  <si>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</si>
  <si>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</si>
  <si>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</si>
  <si>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</si>
  <si>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</si>
  <si>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</si>
  <si>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</si>
  <si>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</si>
  <si>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</si>
  <si>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</si>
  <si>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</si>
  <si>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</si>
  <si>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</si>
  <si>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</si>
  <si>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</si>
  <si>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</si>
  <si>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</si>
  <si>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</si>
  <si>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</si>
  <si>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</si>
  <si>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</si>
  <si>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</si>
  <si>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</si>
  <si>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</si>
  <si>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</si>
  <si>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</si>
  <si>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</si>
  <si>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</si>
  <si>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</si>
  <si>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</si>
  <si>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</si>
  <si>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</si>
  <si>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</si>
  <si>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</si>
  <si>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</si>
  <si>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</si>
  <si>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</si>
  <si>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</si>
  <si>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</si>
  <si>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</si>
  <si>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</si>
  <si>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</si>
  <si>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</si>
  <si>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</si>
  <si>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</si>
  <si>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</si>
  <si>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</si>
  <si>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</si>
  <si>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</si>
  <si>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</si>
  <si>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</si>
  <si>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</si>
  <si>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</si>
  <si>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</si>
  <si>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</si>
  <si>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</si>
  <si>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</si>
  <si>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</si>
  <si>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</si>
  <si>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</si>
  <si>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</si>
  <si>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</si>
  <si>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</si>
  <si>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</si>
  <si>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</si>
  <si>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</si>
  <si>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</si>
  <si>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</si>
  <si>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</si>
  <si>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</si>
  <si>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</si>
  <si>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</si>
  <si>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</si>
  <si>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</si>
  <si>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</si>
  <si>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</si>
  <si>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</si>
  <si>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</si>
  <si>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</si>
  <si>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</si>
  <si>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</si>
  <si>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</si>
  <si>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</si>
  <si>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</si>
  <si>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</si>
  <si>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</si>
  <si>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</si>
  <si>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</si>
  <si>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</si>
  <si>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</si>
  <si>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</si>
  <si>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</si>
  <si>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</si>
  <si>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</si>
  <si>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</si>
  <si>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</si>
  <si>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</si>
  <si>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</si>
  <si>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</si>
  <si>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</si>
  <si>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</si>
  <si>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</si>
  <si>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</si>
  <si>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</si>
  <si>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</si>
  <si>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</si>
  <si>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</si>
  <si>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</si>
  <si>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</si>
  <si>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</si>
  <si>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</si>
  <si>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</si>
  <si>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</si>
  <si>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</si>
  <si>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</si>
  <si>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</si>
  <si>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</si>
  <si>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</si>
  <si>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</si>
  <si>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</si>
  <si>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</si>
  <si>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</si>
  <si>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</si>
  <si>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</si>
  <si>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</si>
  <si>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</si>
  <si>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</si>
  <si>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</si>
  <si>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#SmoothLikeNitroTesla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</si>
  <si>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</si>
  <si>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</si>
  <si>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</si>
  <si>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</si>
  <si>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</si>
  <si>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</si>
  <si>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</si>
  <si>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</si>
  <si>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</si>
  <si>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</si>
  <si>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</si>
  <si>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</si>
  <si>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</si>
  <si>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</si>
  <si>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</si>
  <si>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</si>
  <si>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</si>
  <si>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</si>
  <si>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</si>
  <si>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</si>
  <si>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</si>
  <si>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</si>
  <si>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</si>
  <si>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</si>
  <si>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</si>
  <si>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</si>
  <si>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</si>
  <si>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</si>
  <si>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</si>
  <si>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</si>
  <si>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</si>
  <si>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</si>
  <si>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</si>
  <si>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</si>
  <si>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</si>
  <si>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</si>
  <si>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</si>
  <si>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</si>
  <si>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</si>
  <si>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</si>
  <si>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</si>
  <si>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</si>
  <si>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</si>
  <si>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</si>
  <si>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</si>
  <si>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</si>
  <si>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</si>
  <si>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</si>
  <si>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</si>
  <si>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</si>
  <si>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</si>
  <si>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</si>
  <si>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</si>
  <si>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</si>
  <si>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</si>
  <si>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</si>
  <si>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</si>
  <si>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</si>
  <si>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</si>
  <si>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</si>
  <si>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</si>
  <si>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</si>
  <si>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</si>
  <si>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</si>
  <si>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</si>
  <si>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</si>
  <si>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</si>
  <si>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</si>
  <si>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</si>
  <si>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</si>
  <si>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</si>
  <si>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</si>
  <si>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</si>
  <si>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</si>
  <si>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</si>
  <si>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</si>
  <si>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</si>
  <si>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</si>
  <si>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</si>
  <si>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</si>
  <si>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</si>
  <si>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</si>
  <si>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</si>
  <si>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</si>
  <si>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</si>
  <si>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</si>
  <si>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</si>
  <si>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</si>
  <si>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</si>
  <si>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</si>
  <si>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</si>
  <si>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</si>
  <si>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</si>
  <si>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</si>
  <si>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</si>
  <si>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</si>
  <si>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</si>
  <si>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</si>
  <si>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</si>
  <si>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</si>
  <si>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</si>
  <si>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</si>
  <si>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</si>
  <si>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</si>
  <si>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</si>
  <si>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</si>
  <si>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</si>
  <si>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</si>
  <si>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</si>
  <si>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</si>
  <si>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</si>
  <si>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</si>
  <si>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</si>
  <si>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</si>
  <si>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</si>
  <si>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</si>
  <si>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</si>
  <si>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</si>
  <si>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</si>
  <si>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</si>
  <si>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</si>
  <si>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</si>
  <si>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</si>
  <si>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</si>
  <si>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</si>
  <si>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</si>
  <si>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</si>
  <si>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</si>
  <si>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</si>
  <si>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</si>
  <si>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</si>
  <si>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</si>
  <si>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</si>
  <si>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</si>
  <si>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</si>
  <si>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</si>
  <si>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</si>
  <si>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</si>
  <si>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</si>
  <si>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</si>
  <si>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</si>
  <si>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</si>
  <si>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</si>
  <si>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</si>
  <si>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</si>
  <si>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</si>
  <si>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</si>
  <si>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</si>
  <si>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</si>
  <si>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</si>
  <si>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</si>
  <si>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</si>
  <si>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</si>
  <si>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</si>
  <si>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</si>
  <si>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</si>
  <si>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</si>
  <si>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</si>
  <si>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</si>
  <si>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</si>
  <si>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New_Followers</t>
  </si>
  <si>
    <t>Unfollows</t>
  </si>
  <si>
    <t>Total_Followers</t>
  </si>
  <si>
    <t>Engagement_Rate</t>
  </si>
  <si>
    <t>Ad_Spend</t>
  </si>
  <si>
    <t>Week_Start_Date</t>
  </si>
  <si>
    <t>Start_Date</t>
  </si>
  <si>
    <t>End_Date</t>
  </si>
  <si>
    <t>Objective</t>
  </si>
  <si>
    <t>Total_Budget</t>
  </si>
  <si>
    <t>Target_Platforms</t>
  </si>
  <si>
    <t>Primary_Hashtags</t>
  </si>
  <si>
    <t>CybertruckLaunch</t>
  </si>
  <si>
    <t>Product Awareness</t>
  </si>
  <si>
    <t>Instagram,Facebook</t>
  </si>
  <si>
    <t>ModelYCampaign</t>
  </si>
  <si>
    <t>Customer Engagement</t>
  </si>
  <si>
    <t>Instagram,YouTube</t>
  </si>
  <si>
    <t>FSDUpdate</t>
  </si>
  <si>
    <t>Vehicle Launch</t>
  </si>
  <si>
    <t>Facebook,Twitter</t>
  </si>
  <si>
    <t>SustainabilityDrive</t>
  </si>
  <si>
    <t>Community Growth</t>
  </si>
  <si>
    <t>Instagram,Twitter</t>
  </si>
  <si>
    <t>Engagement Rate</t>
  </si>
  <si>
    <t>Row Labels</t>
  </si>
  <si>
    <t>(blank)</t>
  </si>
  <si>
    <t>Grand Total</t>
  </si>
  <si>
    <t>Average of Engagement Rate</t>
  </si>
  <si>
    <t>Column Labels</t>
  </si>
  <si>
    <t>Average of Clicks</t>
  </si>
  <si>
    <t>Hashtag</t>
  </si>
  <si>
    <t>Campaign</t>
  </si>
  <si>
    <t>Rank</t>
  </si>
  <si>
    <t>Sum of Engagement Rate</t>
  </si>
  <si>
    <t>Follower Growth</t>
  </si>
  <si>
    <t>Sum of New_Followers</t>
  </si>
  <si>
    <t>Sum of Ad_Spend</t>
  </si>
  <si>
    <t>Average of Ad_Spend</t>
  </si>
  <si>
    <t>Average of Engagement_Rate</t>
  </si>
  <si>
    <t>Count of Hashtags Used</t>
  </si>
  <si>
    <t>Sum of Likes</t>
  </si>
  <si>
    <t>Sum of Shares</t>
  </si>
  <si>
    <t>Sum of Comments</t>
  </si>
  <si>
    <t>Sum of Impressions</t>
  </si>
  <si>
    <t>Sum of Reach</t>
  </si>
  <si>
    <t>Sum of Clicks</t>
  </si>
  <si>
    <t>Average of Likes</t>
  </si>
  <si>
    <t>Average of Shares</t>
  </si>
  <si>
    <t>Average of Comments</t>
  </si>
  <si>
    <t>Average of Impressions</t>
  </si>
  <si>
    <t>Average of Reach</t>
  </si>
  <si>
    <t xml:space="preserve">Total Engagement  Per Platform = </t>
  </si>
  <si>
    <t>Total Ad Spent per platform</t>
  </si>
  <si>
    <t>ROI per 1$ spent</t>
  </si>
  <si>
    <t>&lt;01/06/24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</si>
  <si>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</si>
  <si>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</si>
  <si>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</si>
  <si>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</si>
  <si>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</si>
  <si>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</si>
  <si>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</si>
  <si>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</si>
  <si>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</si>
  <si>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</si>
  <si>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</si>
  <si>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</si>
  <si>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 mentioned</t>
  </si>
  <si>
    <t>MAX FOLLOWER GAIN</t>
  </si>
  <si>
    <t>MAX FOLLOWER GAIN WEEK</t>
  </si>
  <si>
    <t>MOVING AVERAGE</t>
  </si>
  <si>
    <t>Ad Spend</t>
  </si>
  <si>
    <r>
      <t xml:space="preserve">Engagement Rate formula applied: </t>
    </r>
    <r>
      <rPr>
        <sz val="10"/>
        <color theme="1"/>
        <rFont val="Arial Unicode MS"/>
        <family val="2"/>
      </rPr>
      <t>=(Likes + Shares + Comments) / Impressions</t>
    </r>
  </si>
  <si>
    <r>
      <t>Instagram had the highest average engagement rate at ~18.5%</t>
    </r>
    <r>
      <rPr>
        <sz val="12"/>
        <color theme="1"/>
        <rFont val="Aptos Narrow"/>
        <family val="2"/>
        <scheme val="minor"/>
      </rPr>
      <t>, followed by Twitter (~13.7%), YouTube (~13.3%), and Facebook (~12.1%).</t>
    </r>
  </si>
  <si>
    <r>
      <t>Top post was P220 on Instagram</t>
    </r>
    <r>
      <rPr>
        <sz val="12"/>
        <color theme="1"/>
        <rFont val="Aptos Narrow"/>
        <family val="2"/>
        <scheme val="minor"/>
      </rPr>
      <t xml:space="preserve"> (Story format, #EVRevolution) with an engagement rate of </t>
    </r>
    <r>
      <rPr>
        <b/>
        <sz val="12"/>
        <color theme="1"/>
        <rFont val="Aptos Narrow"/>
        <family val="2"/>
        <scheme val="minor"/>
      </rPr>
      <t>1.81</t>
    </r>
    <r>
      <rPr>
        <sz val="12"/>
        <color theme="1"/>
        <rFont val="Aptos Narrow"/>
        <family val="2"/>
        <scheme val="minor"/>
      </rPr>
      <t xml:space="preserve"> — far above average.</t>
    </r>
  </si>
  <si>
    <t>Pivot table showed: Stories and Reels consistently outperformed other content types across platforms.</t>
  </si>
  <si>
    <r>
      <t>#TeslaCoInnovation</t>
    </r>
    <r>
      <rPr>
        <sz val="12"/>
        <color theme="1"/>
        <rFont val="Aptos Narrow"/>
        <family val="2"/>
        <scheme val="minor"/>
      </rPr>
      <t xml:space="preserve"> (107 posts) and </t>
    </r>
    <r>
      <rPr>
        <b/>
        <sz val="12"/>
        <color theme="1"/>
        <rFont val="Aptos Narrow"/>
        <family val="2"/>
        <scheme val="minor"/>
      </rPr>
      <t>#FutureOfDriving</t>
    </r>
    <r>
      <rPr>
        <sz val="12"/>
        <color theme="1"/>
        <rFont val="Aptos Narrow"/>
        <family val="2"/>
        <scheme val="minor"/>
      </rPr>
      <t xml:space="preserve"> (103 posts) were the most used hashtags; </t>
    </r>
    <r>
      <rPr>
        <b/>
        <sz val="12"/>
        <color theme="1"/>
        <rFont val="Aptos Narrow"/>
        <family val="2"/>
        <scheme val="minor"/>
      </rPr>
      <t>#EVRevolution</t>
    </r>
    <r>
      <rPr>
        <sz val="12"/>
        <color theme="1"/>
        <rFont val="Aptos Narrow"/>
        <family val="2"/>
        <scheme val="minor"/>
      </rPr>
      <t xml:space="preserve"> had the highest average engagement rate (~15.4%).</t>
    </r>
  </si>
  <si>
    <t>Analysis:</t>
  </si>
  <si>
    <t>Analysis :</t>
  </si>
  <si>
    <r>
      <t>Instagram is the top-performing platform</t>
    </r>
    <r>
      <rPr>
        <sz val="12"/>
        <color theme="1"/>
        <rFont val="Aptos Narrow"/>
        <family val="2"/>
        <scheme val="minor"/>
      </rPr>
      <t xml:space="preserve"> for engagement rate (~18.5% avg).</t>
    </r>
  </si>
  <si>
    <r>
      <t>Instagram gained the most followers</t>
    </r>
    <r>
      <rPr>
        <sz val="12"/>
        <color theme="1"/>
        <rFont val="Aptos Narrow"/>
        <family val="2"/>
        <scheme val="minor"/>
      </rPr>
      <t xml:space="preserve"> over the period (58,311), followed by Twitter (53,484), Facebook (50,862), and YouTube (47,471).</t>
    </r>
  </si>
  <si>
    <r>
      <t>Recommendation:</t>
    </r>
    <r>
      <rPr>
        <sz val="12"/>
        <color theme="1"/>
        <rFont val="Aptos Narrow"/>
        <family val="2"/>
        <scheme val="minor"/>
      </rPr>
      <t xml:space="preserve"> Tesla should maintain a multi-platform strategy but prioritize Instagram for content engagement and reduce Facebook ad spend, reallocating it toward Instagram and YouTube which deliver better returns.</t>
    </r>
  </si>
  <si>
    <r>
      <t xml:space="preserve">Most used hashtags: </t>
    </r>
    <r>
      <rPr>
        <b/>
        <sz val="12"/>
        <color theme="1"/>
        <rFont val="Aptos Narrow"/>
        <family val="2"/>
        <scheme val="minor"/>
      </rPr>
      <t>#TeslaCoInnovation (107), #FutureOfDriving (103), #EVRevolution (102)</t>
    </r>
  </si>
  <si>
    <r>
      <t xml:space="preserve">Best performing by engagement rate: </t>
    </r>
    <r>
      <rPr>
        <b/>
        <sz val="12"/>
        <color theme="1"/>
        <rFont val="Aptos Narrow"/>
        <family val="2"/>
        <scheme val="minor"/>
      </rPr>
      <t>#EVRevolution (~15.4%)</t>
    </r>
    <r>
      <rPr>
        <sz val="12"/>
        <color theme="1"/>
        <rFont val="Aptos Narrow"/>
        <family val="2"/>
        <scheme val="minor"/>
      </rPr>
      <t xml:space="preserve"> despite being the 3rd most used — shows quality over quantity.</t>
    </r>
  </si>
  <si>
    <r>
      <t xml:space="preserve">By content type: </t>
    </r>
    <r>
      <rPr>
        <b/>
        <sz val="12"/>
        <color theme="1"/>
        <rFont val="Aptos Narrow"/>
        <family val="2"/>
        <scheme val="minor"/>
      </rPr>
      <t>Stories (18%) &gt; Reels (15.2%) &gt; Carousels (14.7%) &gt; Videos (14.1%)</t>
    </r>
  </si>
  <si>
    <t>Platform-specific recommendations:</t>
  </si>
  <si>
    <t>4 campaigns analyzed: Cybertruck Launch, FSD Update, Model Y Campaign, Sustainability Drive</t>
  </si>
  <si>
    <r>
      <t>Sustainability Drive had the highest total engagement</t>
    </r>
    <r>
      <rPr>
        <sz val="12"/>
        <color theme="1"/>
        <rFont val="Aptos Narrow"/>
        <family val="2"/>
        <scheme val="minor"/>
      </rPr>
      <t xml:space="preserve">: 219,562 Likes, 39,435 Shares, 2.9M Impressions — with a budget of only ₹1.8L → </t>
    </r>
    <r>
      <rPr>
        <b/>
        <sz val="12"/>
        <color theme="1"/>
        <rFont val="Aptos Narrow"/>
        <family val="2"/>
        <scheme val="minor"/>
      </rPr>
      <t>best ROI</t>
    </r>
  </si>
  <si>
    <r>
      <t>FSD Update had highest spend (₹2.5L)</t>
    </r>
    <r>
      <rPr>
        <sz val="12"/>
        <color theme="1"/>
        <rFont val="Aptos Narrow"/>
        <family val="2"/>
        <scheme val="minor"/>
      </rPr>
      <t xml:space="preserve"> but lower impressions than Sustainability Drive</t>
    </r>
  </si>
  <si>
    <r>
      <t>Cybertruck Launch had the lowest impressions (2.09M)</t>
    </r>
    <r>
      <rPr>
        <sz val="12"/>
        <color theme="1"/>
        <rFont val="Aptos Narrow"/>
        <family val="2"/>
        <scheme val="minor"/>
      </rPr>
      <t xml:space="preserve"> with ₹1.5L budget — decent ROI for a product launch</t>
    </r>
  </si>
  <si>
    <t>Weekly follower growth visualized using a line chart per platform</t>
  </si>
  <si>
    <r>
      <t>Peak week: December 30, 2024</t>
    </r>
    <r>
      <rPr>
        <sz val="12"/>
        <color theme="1"/>
        <rFont val="Aptos Narrow"/>
        <family val="2"/>
        <scheme val="minor"/>
      </rPr>
      <t xml:space="preserve"> — 7,075 total new followers across all platforms (likely holiday-season campaigns)</t>
    </r>
  </si>
  <si>
    <t>Moving averages (3-week window) smoothed out weekly spikes and showed a steady upward trend from June to December 2024</t>
  </si>
  <si>
    <r>
      <t xml:space="preserve">Scatter plot showed a </t>
    </r>
    <r>
      <rPr>
        <b/>
        <sz val="12"/>
        <color theme="1"/>
        <rFont val="Aptos Narrow"/>
        <family val="2"/>
        <scheme val="minor"/>
      </rPr>
      <t>moderate positive correlation between Ad Spend and Follower Growth</t>
    </r>
    <r>
      <rPr>
        <sz val="12"/>
        <color theme="1"/>
        <rFont val="Aptos Narrow"/>
        <family val="2"/>
        <scheme val="minor"/>
      </rPr>
      <t xml:space="preserve"> — more spend generally brought more followers, but Instagram was an outlier (high growth with comparatively lower spend)</t>
    </r>
  </si>
  <si>
    <r>
      <t xml:space="preserve">Ad Spend was highest on Facebook (~₹13.8L total) but Facebook had the </t>
    </r>
    <r>
      <rPr>
        <i/>
        <sz val="12"/>
        <color theme="1"/>
        <rFont val="Aptos Narrow"/>
        <family val="2"/>
        <scheme val="minor"/>
      </rPr>
      <t>lowest</t>
    </r>
    <r>
      <rPr>
        <sz val="12"/>
        <color theme="1"/>
        <rFont val="Aptos Narrow"/>
        <family val="2"/>
        <scheme val="minor"/>
      </rPr>
      <t xml:space="preserve"> engagement rate — suggesting low ROI there but Instagram has significant engagement rate even though Ad spent is less, suggesting high ROI</t>
    </r>
  </si>
  <si>
    <t>Instagram → Reels  (highest engagement)</t>
  </si>
  <si>
    <t>YouTube →Carousels</t>
  </si>
  <si>
    <t>Facebook → Story</t>
  </si>
  <si>
    <t>Twitter → Story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</si>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</sst>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1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6" xfId="0" applyFill="1" applyBorder="1"/>
    <xf numFmtId="0" fontId="0" fillId="0" borderId="6" xfId="0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5" borderId="6" xfId="0" applyFill="1" applyBorder="1"/>
    <xf numFmtId="0" fontId="0" fillId="5" borderId="7" xfId="0" applyFill="1" applyBorder="1"/>
    <xf numFmtId="14" fontId="0" fillId="5" borderId="7" xfId="0" applyNumberFormat="1" applyFill="1" applyBorder="1"/>
    <xf numFmtId="0" fontId="0" fillId="3" borderId="0" xfId="0" applyFill="1"/>
    <xf numFmtId="0" fontId="0" fillId="6" borderId="0" xfId="0" applyFill="1"/>
    <xf numFmtId="0" fontId="0" fillId="0" borderId="4" xfId="0" pivotButton="1" applyBorder="1"/>
    <xf numFmtId="0" fontId="0" fillId="0" borderId="10" xfId="0" pivotButton="1" applyBorder="1"/>
    <xf numFmtId="0" fontId="0" fillId="0" borderId="10" xfId="0" applyBorder="1"/>
    <xf numFmtId="0" fontId="0" fillId="0" borderId="6" xfId="0" pivotButton="1" applyBorder="1"/>
    <xf numFmtId="14" fontId="0" fillId="0" borderId="6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1" xfId="0" applyBorder="1"/>
    <xf numFmtId="0" fontId="2" fillId="0" borderId="0" xfId="0" applyFont="1"/>
    <xf numFmtId="0" fontId="1" fillId="0" borderId="0" xfId="0" applyFont="1"/>
    <xf numFmtId="0" fontId="0" fillId="8" borderId="5" xfId="0" applyFill="1" applyBorder="1"/>
    <xf numFmtId="0" fontId="4" fillId="8" borderId="7" xfId="0" applyFont="1" applyFill="1" applyBorder="1"/>
    <xf numFmtId="0" fontId="0" fillId="0" borderId="0" xfId="0" applyBorder="1"/>
    <xf numFmtId="0" fontId="0" fillId="7" borderId="12" xfId="0" applyFill="1" applyBorder="1"/>
    <xf numFmtId="0" fontId="0" fillId="6" borderId="12" xfId="0" applyFill="1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0" xfId="0" applyNumberFormat="1"/>
    <xf numFmtId="0" fontId="0" fillId="3" borderId="0" xfId="0" applyNumberFormat="1" applyFill="1"/>
    <xf numFmtId="0" fontId="0" fillId="9" borderId="0" xfId="0" applyFill="1"/>
    <xf numFmtId="0" fontId="0" fillId="9" borderId="7" xfId="0" applyFill="1" applyBorder="1"/>
    <xf numFmtId="0" fontId="0" fillId="8" borderId="6" xfId="0" applyFill="1" applyBorder="1" applyAlignment="1">
      <alignment horizontal="left"/>
    </xf>
    <xf numFmtId="14" fontId="0" fillId="9" borderId="6" xfId="0" applyNumberFormat="1" applyFill="1" applyBorder="1" applyAlignment="1">
      <alignment horizontal="left"/>
    </xf>
  </cellXfs>
  <cellStyles count="1">
    <cellStyle name="Normal" xfId="0" builtinId="0"/>
  </cellStyles>
  <dxfs count="55">
    <dxf>
      <fill>
        <patternFill>
          <bgColor theme="5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3!PivotTable4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41426071741033"/>
          <c:y val="7.407407407407407E-2"/>
          <c:w val="0.72846981627296592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3'!$B$1:$B$2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3'!$B$3:$B$8</c:f>
              <c:numCache>
                <c:formatCode>General</c:formatCode>
                <c:ptCount val="5"/>
                <c:pt idx="0">
                  <c:v>0.11820589815604367</c:v>
                </c:pt>
                <c:pt idx="1">
                  <c:v>0.14358583471485059</c:v>
                </c:pt>
                <c:pt idx="2">
                  <c:v>0.14537054868993238</c:v>
                </c:pt>
                <c:pt idx="3">
                  <c:v>0.1904560601657018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E-4341-88D7-AC873EDF203F}"/>
            </c:ext>
          </c:extLst>
        </c:ser>
        <c:ser>
          <c:idx val="1"/>
          <c:order val="1"/>
          <c:tx>
            <c:strRef>
              <c:f>'Task 3'!$C$1:$C$2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3'!$C$3:$C$8</c:f>
              <c:numCache>
                <c:formatCode>General</c:formatCode>
                <c:ptCount val="5"/>
                <c:pt idx="0">
                  <c:v>0.11745424528332371</c:v>
                </c:pt>
                <c:pt idx="1">
                  <c:v>0.1347559439447894</c:v>
                </c:pt>
                <c:pt idx="2">
                  <c:v>0.14530582715944351</c:v>
                </c:pt>
                <c:pt idx="3">
                  <c:v>0.15035567844671383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E-4341-88D7-AC873EDF203F}"/>
            </c:ext>
          </c:extLst>
        </c:ser>
        <c:ser>
          <c:idx val="2"/>
          <c:order val="2"/>
          <c:tx>
            <c:strRef>
              <c:f>'Task 3'!$D$1:$D$2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3'!$D$3:$D$8</c:f>
              <c:numCache>
                <c:formatCode>General</c:formatCode>
                <c:ptCount val="5"/>
                <c:pt idx="0">
                  <c:v>0.10986859810690117</c:v>
                </c:pt>
                <c:pt idx="1">
                  <c:v>0.26004033206333965</c:v>
                </c:pt>
                <c:pt idx="2">
                  <c:v>0.12148739385254119</c:v>
                </c:pt>
                <c:pt idx="3">
                  <c:v>0.12032962245098325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E-4341-88D7-AC873EDF203F}"/>
            </c:ext>
          </c:extLst>
        </c:ser>
        <c:ser>
          <c:idx val="3"/>
          <c:order val="3"/>
          <c:tx>
            <c:strRef>
              <c:f>'Task 3'!$E$1:$E$2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3'!$E$3:$E$8</c:f>
              <c:numCache>
                <c:formatCode>General</c:formatCode>
                <c:ptCount val="5"/>
                <c:pt idx="0">
                  <c:v>0.15898977777988452</c:v>
                </c:pt>
                <c:pt idx="1">
                  <c:v>0.22896900915543306</c:v>
                </c:pt>
                <c:pt idx="2">
                  <c:v>0.18859716943319416</c:v>
                </c:pt>
                <c:pt idx="3">
                  <c:v>9.4965330348360799E-2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2E-4341-88D7-AC873EDF203F}"/>
            </c:ext>
          </c:extLst>
        </c:ser>
        <c:ser>
          <c:idx val="4"/>
          <c:order val="4"/>
          <c:tx>
            <c:strRef>
              <c:f>'Task 3'!$F$1:$F$2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3'!$F$3:$F$8</c:f>
              <c:numCache>
                <c:formatCode>General</c:formatCode>
                <c:ptCount val="5"/>
                <c:pt idx="0">
                  <c:v>0.11119518464556616</c:v>
                </c:pt>
                <c:pt idx="1">
                  <c:v>0.12920449104190176</c:v>
                </c:pt>
                <c:pt idx="2">
                  <c:v>0.11715705838352779</c:v>
                </c:pt>
                <c:pt idx="3">
                  <c:v>0.11358051151819019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2E-4341-88D7-AC873EDF203F}"/>
            </c:ext>
          </c:extLst>
        </c:ser>
        <c:ser>
          <c:idx val="5"/>
          <c:order val="5"/>
          <c:tx>
            <c:strRef>
              <c:f>'Task 3'!$G$1:$G$2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3'!$G$3:$G$8</c:f>
              <c:numCache>
                <c:formatCode>General</c:formatCode>
                <c:ptCount val="5"/>
                <c:pt idx="0">
                  <c:v>0.12378368203470033</c:v>
                </c:pt>
                <c:pt idx="1">
                  <c:v>0.20035941736166224</c:v>
                </c:pt>
                <c:pt idx="2">
                  <c:v>0.11228206701664242</c:v>
                </c:pt>
                <c:pt idx="3">
                  <c:v>0.12194862777363848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2E-4341-88D7-AC873EDF203F}"/>
            </c:ext>
          </c:extLst>
        </c:ser>
        <c:ser>
          <c:idx val="6"/>
          <c:order val="6"/>
          <c:tx>
            <c:strRef>
              <c:f>'Task 3'!$H$1:$H$2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3'!$A$3:$A$8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3'!$H$3:$H$8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212E-4341-88D7-AC873EDF2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748352"/>
        <c:axId val="1355751824"/>
      </c:barChart>
      <c:catAx>
        <c:axId val="18477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51824"/>
        <c:crosses val="autoZero"/>
        <c:auto val="1"/>
        <c:lblAlgn val="ctr"/>
        <c:lblOffset val="100"/>
        <c:noMultiLvlLbl val="0"/>
      </c:catAx>
      <c:valAx>
        <c:axId val="13557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74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4A-D54D-9FCD-01D0D5620E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A-D54D-9FCD-01D0D5620E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4A-D54D-9FCD-01D0D5620E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4A-D54D-9FCD-01D0D5620E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4A-D54D-9FCD-01D0D5620E65}"/>
              </c:ext>
            </c:extLst>
          </c:dPt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Twitter</c:v>
              </c:pt>
              <c:pt idx="3">
                <c:v>YouTube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50862</c:v>
              </c:pt>
              <c:pt idx="1">
                <c:v>58311</c:v>
              </c:pt>
              <c:pt idx="2">
                <c:v>53484</c:v>
              </c:pt>
              <c:pt idx="3">
                <c:v>47471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8B-D741-97CB-80949A6F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3!PivotTable10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3'!$A$32:$A$37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(blank)</c:v>
                </c:pt>
              </c:strCache>
            </c:strRef>
          </c:cat>
          <c:val>
            <c:numRef>
              <c:f>'Task 3'!$B$32:$B$37</c:f>
              <c:numCache>
                <c:formatCode>General</c:formatCode>
                <c:ptCount val="5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2-544B-B3B3-677C719BD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32304"/>
        <c:axId val="1186141791"/>
      </c:barChart>
      <c:catAx>
        <c:axId val="2098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41791"/>
        <c:crosses val="autoZero"/>
        <c:auto val="1"/>
        <c:lblAlgn val="ctr"/>
        <c:lblOffset val="100"/>
        <c:noMultiLvlLbl val="0"/>
      </c:catAx>
      <c:valAx>
        <c:axId val="11861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Twitter</c:v>
              </c:pt>
              <c:pt idx="3">
                <c:v>YouTube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27590.78</c:v>
              </c:pt>
              <c:pt idx="1">
                <c:v>23287.46</c:v>
              </c:pt>
              <c:pt idx="2">
                <c:v>21207.14</c:v>
              </c:pt>
              <c:pt idx="3">
                <c:v>24572.94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4E-8447-A627-4C3B89F33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07280"/>
        <c:axId val="208913376"/>
      </c:barChart>
      <c:catAx>
        <c:axId val="2089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13376"/>
        <c:crosses val="autoZero"/>
        <c:auto val="1"/>
        <c:lblAlgn val="ctr"/>
        <c:lblOffset val="100"/>
        <c:noMultiLvlLbl val="0"/>
      </c:catAx>
      <c:valAx>
        <c:axId val="2089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4!PivotTable16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4'!$B$22:$B$23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4'!$B$24:$B$31</c:f>
              <c:numCache>
                <c:formatCode>General</c:formatCode>
                <c:ptCount val="7"/>
                <c:pt idx="0">
                  <c:v>0.11148541630542699</c:v>
                </c:pt>
                <c:pt idx="1">
                  <c:v>0.22659584966641141</c:v>
                </c:pt>
                <c:pt idx="2">
                  <c:v>0.13840668692245353</c:v>
                </c:pt>
                <c:pt idx="3">
                  <c:v>0.13825988747333962</c:v>
                </c:pt>
                <c:pt idx="4">
                  <c:v>0.14316214319138981</c:v>
                </c:pt>
                <c:pt idx="5">
                  <c:v>0.15971978474698467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2-6E4E-B543-1F1C6900D0FB}"/>
            </c:ext>
          </c:extLst>
        </c:ser>
        <c:ser>
          <c:idx val="1"/>
          <c:order val="1"/>
          <c:tx>
            <c:strRef>
              <c:f>'Task 4'!$C$22:$C$23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4'!$C$24:$C$31</c:f>
              <c:numCache>
                <c:formatCode>General</c:formatCode>
                <c:ptCount val="7"/>
                <c:pt idx="0">
                  <c:v>0.1002031456347712</c:v>
                </c:pt>
                <c:pt idx="1">
                  <c:v>7.9915048543689318E-2</c:v>
                </c:pt>
                <c:pt idx="2">
                  <c:v>0.11409102842201806</c:v>
                </c:pt>
                <c:pt idx="3">
                  <c:v>0.16517221344454286</c:v>
                </c:pt>
                <c:pt idx="4">
                  <c:v>0.15571802706241816</c:v>
                </c:pt>
                <c:pt idx="5">
                  <c:v>0.12814370935290217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2-6E4E-B543-1F1C6900D0FB}"/>
            </c:ext>
          </c:extLst>
        </c:ser>
        <c:ser>
          <c:idx val="2"/>
          <c:order val="2"/>
          <c:tx>
            <c:strRef>
              <c:f>'Task 4'!$D$22:$D$23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4'!$D$24:$D$31</c:f>
              <c:numCache>
                <c:formatCode>General</c:formatCode>
                <c:ptCount val="7"/>
                <c:pt idx="0">
                  <c:v>0.15356367233776949</c:v>
                </c:pt>
                <c:pt idx="1">
                  <c:v>0.11879910213243547</c:v>
                </c:pt>
                <c:pt idx="2">
                  <c:v>0.14114472402726921</c:v>
                </c:pt>
                <c:pt idx="3">
                  <c:v>0.15359246793013309</c:v>
                </c:pt>
                <c:pt idx="4">
                  <c:v>0.11143487163332809</c:v>
                </c:pt>
                <c:pt idx="5">
                  <c:v>0.17065518132228841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2-6E4E-B543-1F1C6900D0FB}"/>
            </c:ext>
          </c:extLst>
        </c:ser>
        <c:ser>
          <c:idx val="3"/>
          <c:order val="3"/>
          <c:tx>
            <c:strRef>
              <c:f>'Task 4'!$E$22:$E$23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4'!$E$24:$E$31</c:f>
              <c:numCache>
                <c:formatCode>General</c:formatCode>
                <c:ptCount val="7"/>
                <c:pt idx="1">
                  <c:v>8.7752275425405618E-2</c:v>
                </c:pt>
                <c:pt idx="2">
                  <c:v>0.28007598074563467</c:v>
                </c:pt>
                <c:pt idx="3">
                  <c:v>0.138737646116566</c:v>
                </c:pt>
                <c:pt idx="5">
                  <c:v>0.12053149866630324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72-6E4E-B543-1F1C6900D0FB}"/>
            </c:ext>
          </c:extLst>
        </c:ser>
        <c:ser>
          <c:idx val="4"/>
          <c:order val="4"/>
          <c:tx>
            <c:strRef>
              <c:f>'Task 4'!$F$22:$F$23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4'!$F$24:$F$31</c:f>
              <c:numCache>
                <c:formatCode>General</c:formatCode>
                <c:ptCount val="7"/>
                <c:pt idx="0">
                  <c:v>0.13550866966869901</c:v>
                </c:pt>
                <c:pt idx="1">
                  <c:v>7.0806751283372868E-2</c:v>
                </c:pt>
                <c:pt idx="2">
                  <c:v>0.12133551160529493</c:v>
                </c:pt>
                <c:pt idx="3">
                  <c:v>9.8224306700013142E-2</c:v>
                </c:pt>
                <c:pt idx="5">
                  <c:v>0.12912461340499298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72-6E4E-B543-1F1C6900D0FB}"/>
            </c:ext>
          </c:extLst>
        </c:ser>
        <c:ser>
          <c:idx val="5"/>
          <c:order val="5"/>
          <c:tx>
            <c:strRef>
              <c:f>'Task 4'!$G$22:$G$23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4'!$G$24:$G$31</c:f>
              <c:numCache>
                <c:formatCode>General</c:formatCode>
                <c:ptCount val="7"/>
                <c:pt idx="0">
                  <c:v>0.10199357448103066</c:v>
                </c:pt>
                <c:pt idx="2">
                  <c:v>0.1386367509975199</c:v>
                </c:pt>
                <c:pt idx="3">
                  <c:v>0.13371562643383825</c:v>
                </c:pt>
                <c:pt idx="4">
                  <c:v>8.1886320825663758E-2</c:v>
                </c:pt>
                <c:pt idx="5">
                  <c:v>0.16226718317495517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72-6E4E-B543-1F1C6900D0FB}"/>
            </c:ext>
          </c:extLst>
        </c:ser>
        <c:ser>
          <c:idx val="6"/>
          <c:order val="6"/>
          <c:tx>
            <c:strRef>
              <c:f>'Task 4'!$H$22:$H$23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4'!$A$24:$A$31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4'!$H$24:$H$31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0672-6E4E-B543-1F1C6900D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7151"/>
        <c:axId val="1974535632"/>
      </c:barChart>
      <c:catAx>
        <c:axId val="3941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35632"/>
        <c:crosses val="autoZero"/>
        <c:auto val="1"/>
        <c:lblAlgn val="ctr"/>
        <c:lblOffset val="100"/>
        <c:noMultiLvlLbl val="0"/>
      </c:catAx>
      <c:valAx>
        <c:axId val="19745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4!PivotTable12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4'!$B$1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FF-5047-A1E9-0857192C5E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FF-5047-A1E9-0857192C5E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FF-5047-A1E9-0857192C5E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FF-5047-A1E9-0857192C5E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FF-5047-A1E9-0857192C5E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FF-5047-A1E9-0857192C5E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FF-5047-A1E9-0857192C5E34}"/>
              </c:ext>
            </c:extLst>
          </c:dPt>
          <c:cat>
            <c:strRef>
              <c:f>'Task 4'!$A$2:$A$9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4'!$B$2:$B$9</c:f>
              <c:numCache>
                <c:formatCode>General</c:formatCode>
                <c:ptCount val="7"/>
                <c:pt idx="0">
                  <c:v>15</c:v>
                </c:pt>
                <c:pt idx="1">
                  <c:v>7</c:v>
                </c:pt>
                <c:pt idx="2">
                  <c:v>102</c:v>
                </c:pt>
                <c:pt idx="3">
                  <c:v>103</c:v>
                </c:pt>
                <c:pt idx="4">
                  <c:v>5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9-8D4A-97A9-21D10DC4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4!PivotTable15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4'!$A$13:$A$20</c:f>
              <c:strCache>
                <c:ptCount val="7"/>
                <c:pt idx="0">
                  <c:v>#AnytimeIsTeslaTime</c:v>
                </c:pt>
                <c:pt idx="1">
                  <c:v>#BetterWithTesla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#SmoothLikeNitroTesla</c:v>
                </c:pt>
                <c:pt idx="5">
                  <c:v>#TeslaCoInnovation</c:v>
                </c:pt>
                <c:pt idx="6">
                  <c:v>(blank)</c:v>
                </c:pt>
              </c:strCache>
            </c:strRef>
          </c:cat>
          <c:val>
            <c:numRef>
              <c:f>'Task 4'!$B$13:$B$20</c:f>
              <c:numCache>
                <c:formatCode>General</c:formatCode>
                <c:ptCount val="7"/>
                <c:pt idx="0">
                  <c:v>0.11636073778371317</c:v>
                </c:pt>
                <c:pt idx="1">
                  <c:v>0.12589594685729985</c:v>
                </c:pt>
                <c:pt idx="2">
                  <c:v>0.15386132749296613</c:v>
                </c:pt>
                <c:pt idx="3">
                  <c:v>0.14123247081320281</c:v>
                </c:pt>
                <c:pt idx="4">
                  <c:v>0.11481753670769271</c:v>
                </c:pt>
                <c:pt idx="5">
                  <c:v>0.14515321153500599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7-6340-9FF0-BED2A082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321487"/>
        <c:axId val="35009727"/>
      </c:barChart>
      <c:catAx>
        <c:axId val="353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9727"/>
        <c:crosses val="autoZero"/>
        <c:auto val="1"/>
        <c:lblAlgn val="ctr"/>
        <c:lblOffset val="100"/>
        <c:noMultiLvlLbl val="0"/>
      </c:catAx>
      <c:valAx>
        <c:axId val="3500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5!PivotTable23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5'!$A$41:$A$54</c:f>
              <c:strCache>
                <c:ptCount val="13"/>
                <c:pt idx="0">
                  <c:v>&lt;01/06/24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'Task 5'!$B$41:$B$54</c:f>
              <c:numCache>
                <c:formatCode>General</c:formatCode>
                <c:ptCount val="13"/>
                <c:pt idx="1">
                  <c:v>4.5209577323309631</c:v>
                </c:pt>
                <c:pt idx="2">
                  <c:v>4.4543010504908063</c:v>
                </c:pt>
                <c:pt idx="3">
                  <c:v>3.9614851733103391</c:v>
                </c:pt>
                <c:pt idx="4">
                  <c:v>4.910784215714374</c:v>
                </c:pt>
                <c:pt idx="5">
                  <c:v>1.6825802118790123</c:v>
                </c:pt>
                <c:pt idx="6">
                  <c:v>5.5167223418681779</c:v>
                </c:pt>
                <c:pt idx="7">
                  <c:v>4.3504458152539023</c:v>
                </c:pt>
                <c:pt idx="8">
                  <c:v>4.8902187155014341</c:v>
                </c:pt>
                <c:pt idx="9">
                  <c:v>1.8153911151496218</c:v>
                </c:pt>
                <c:pt idx="10">
                  <c:v>4.9062111761595872</c:v>
                </c:pt>
                <c:pt idx="11">
                  <c:v>4.0860311547588148</c:v>
                </c:pt>
                <c:pt idx="12">
                  <c:v>3.8778352081663168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5-1D49-8B39-3247D67C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446976"/>
        <c:axId val="1274310879"/>
      </c:barChart>
      <c:catAx>
        <c:axId val="203044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10879"/>
        <c:crosses val="autoZero"/>
        <c:auto val="1"/>
        <c:lblAlgn val="ctr"/>
        <c:lblOffset val="100"/>
        <c:noMultiLvlLbl val="0"/>
      </c:catAx>
      <c:valAx>
        <c:axId val="12743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4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- Project.xlsx]Task 6!PivotTable25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6'!$B$1:$B$2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6'!$A$3:$A$54</c:f>
              <c:strCache>
                <c:ptCount val="51"/>
                <c:pt idx="0">
                  <c:v>03/06/24</c:v>
                </c:pt>
                <c:pt idx="1">
                  <c:v>10/06/24</c:v>
                </c:pt>
                <c:pt idx="2">
                  <c:v>17/06/24</c:v>
                </c:pt>
                <c:pt idx="3">
                  <c:v>24/06/24</c:v>
                </c:pt>
                <c:pt idx="4">
                  <c:v>01/07/24</c:v>
                </c:pt>
                <c:pt idx="5">
                  <c:v>08/07/24</c:v>
                </c:pt>
                <c:pt idx="6">
                  <c:v>15/07/24</c:v>
                </c:pt>
                <c:pt idx="7">
                  <c:v>22/07/24</c:v>
                </c:pt>
                <c:pt idx="8">
                  <c:v>29/07/24</c:v>
                </c:pt>
                <c:pt idx="9">
                  <c:v>05/08/24</c:v>
                </c:pt>
                <c:pt idx="10">
                  <c:v>12/08/24</c:v>
                </c:pt>
                <c:pt idx="11">
                  <c:v>19/08/24</c:v>
                </c:pt>
                <c:pt idx="12">
                  <c:v>26/08/24</c:v>
                </c:pt>
                <c:pt idx="13">
                  <c:v>02/09/24</c:v>
                </c:pt>
                <c:pt idx="14">
                  <c:v>09/09/24</c:v>
                </c:pt>
                <c:pt idx="15">
                  <c:v>16/09/24</c:v>
                </c:pt>
                <c:pt idx="16">
                  <c:v>23/09/24</c:v>
                </c:pt>
                <c:pt idx="17">
                  <c:v>30/09/24</c:v>
                </c:pt>
                <c:pt idx="18">
                  <c:v>07/10/24</c:v>
                </c:pt>
                <c:pt idx="19">
                  <c:v>14/10/24</c:v>
                </c:pt>
                <c:pt idx="20">
                  <c:v>21/10/24</c:v>
                </c:pt>
                <c:pt idx="21">
                  <c:v>28/10/24</c:v>
                </c:pt>
                <c:pt idx="22">
                  <c:v>04/11/24</c:v>
                </c:pt>
                <c:pt idx="23">
                  <c:v>11/11/24</c:v>
                </c:pt>
                <c:pt idx="24">
                  <c:v>18/11/24</c:v>
                </c:pt>
                <c:pt idx="25">
                  <c:v>25/11/24</c:v>
                </c:pt>
                <c:pt idx="26">
                  <c:v>02/12/24</c:v>
                </c:pt>
                <c:pt idx="27">
                  <c:v>09/12/24</c:v>
                </c:pt>
                <c:pt idx="28">
                  <c:v>16/12/24</c:v>
                </c:pt>
                <c:pt idx="29">
                  <c:v>23/12/24</c:v>
                </c:pt>
                <c:pt idx="30">
                  <c:v>30/12/24</c:v>
                </c:pt>
                <c:pt idx="31">
                  <c:v>06/01/25</c:v>
                </c:pt>
                <c:pt idx="32">
                  <c:v>13/01/25</c:v>
                </c:pt>
                <c:pt idx="33">
                  <c:v>20/01/25</c:v>
                </c:pt>
                <c:pt idx="34">
                  <c:v>27/01/25</c:v>
                </c:pt>
                <c:pt idx="35">
                  <c:v>03/02/25</c:v>
                </c:pt>
                <c:pt idx="36">
                  <c:v>10/02/25</c:v>
                </c:pt>
                <c:pt idx="37">
                  <c:v>17/02/25</c:v>
                </c:pt>
                <c:pt idx="38">
                  <c:v>24/02/25</c:v>
                </c:pt>
                <c:pt idx="39">
                  <c:v>03/03/25</c:v>
                </c:pt>
                <c:pt idx="40">
                  <c:v>10/03/25</c:v>
                </c:pt>
                <c:pt idx="41">
                  <c:v>17/03/25</c:v>
                </c:pt>
                <c:pt idx="42">
                  <c:v>24/03/25</c:v>
                </c:pt>
                <c:pt idx="43">
                  <c:v>31/03/25</c:v>
                </c:pt>
                <c:pt idx="44">
                  <c:v>07/04/25</c:v>
                </c:pt>
                <c:pt idx="45">
                  <c:v>14/04/25</c:v>
                </c:pt>
                <c:pt idx="46">
                  <c:v>21/04/25</c:v>
                </c:pt>
                <c:pt idx="47">
                  <c:v>28/04/25</c:v>
                </c:pt>
                <c:pt idx="48">
                  <c:v>05/05/25</c:v>
                </c:pt>
                <c:pt idx="49">
                  <c:v>12/05/25</c:v>
                </c:pt>
                <c:pt idx="50">
                  <c:v>(blank)</c:v>
                </c:pt>
              </c:strCache>
            </c:strRef>
          </c:cat>
          <c:val>
            <c:numRef>
              <c:f>'Task 6'!$B$3:$B$54</c:f>
              <c:numCache>
                <c:formatCode>General</c:formatCode>
                <c:ptCount val="51"/>
                <c:pt idx="0">
                  <c:v>1312</c:v>
                </c:pt>
                <c:pt idx="1">
                  <c:v>1697</c:v>
                </c:pt>
                <c:pt idx="2">
                  <c:v>1753</c:v>
                </c:pt>
                <c:pt idx="3">
                  <c:v>1779</c:v>
                </c:pt>
                <c:pt idx="4">
                  <c:v>505</c:v>
                </c:pt>
                <c:pt idx="5">
                  <c:v>350</c:v>
                </c:pt>
                <c:pt idx="6">
                  <c:v>170</c:v>
                </c:pt>
                <c:pt idx="7">
                  <c:v>1391</c:v>
                </c:pt>
                <c:pt idx="8">
                  <c:v>160</c:v>
                </c:pt>
                <c:pt idx="9">
                  <c:v>214</c:v>
                </c:pt>
                <c:pt idx="10">
                  <c:v>1534</c:v>
                </c:pt>
                <c:pt idx="11">
                  <c:v>1078</c:v>
                </c:pt>
                <c:pt idx="12">
                  <c:v>248</c:v>
                </c:pt>
                <c:pt idx="13">
                  <c:v>1520</c:v>
                </c:pt>
                <c:pt idx="14">
                  <c:v>1842</c:v>
                </c:pt>
                <c:pt idx="15">
                  <c:v>443</c:v>
                </c:pt>
                <c:pt idx="16">
                  <c:v>198</c:v>
                </c:pt>
                <c:pt idx="17">
                  <c:v>250</c:v>
                </c:pt>
                <c:pt idx="18">
                  <c:v>1929</c:v>
                </c:pt>
                <c:pt idx="19">
                  <c:v>643</c:v>
                </c:pt>
                <c:pt idx="20">
                  <c:v>508</c:v>
                </c:pt>
                <c:pt idx="21">
                  <c:v>859</c:v>
                </c:pt>
                <c:pt idx="22">
                  <c:v>947</c:v>
                </c:pt>
                <c:pt idx="23">
                  <c:v>171</c:v>
                </c:pt>
                <c:pt idx="24">
                  <c:v>513</c:v>
                </c:pt>
                <c:pt idx="25">
                  <c:v>1710</c:v>
                </c:pt>
                <c:pt idx="26">
                  <c:v>1902</c:v>
                </c:pt>
                <c:pt idx="27">
                  <c:v>1514</c:v>
                </c:pt>
                <c:pt idx="28">
                  <c:v>1623</c:v>
                </c:pt>
                <c:pt idx="29">
                  <c:v>1155</c:v>
                </c:pt>
                <c:pt idx="30">
                  <c:v>1980</c:v>
                </c:pt>
                <c:pt idx="31">
                  <c:v>816</c:v>
                </c:pt>
                <c:pt idx="32">
                  <c:v>651</c:v>
                </c:pt>
                <c:pt idx="33">
                  <c:v>663</c:v>
                </c:pt>
                <c:pt idx="34">
                  <c:v>1249</c:v>
                </c:pt>
                <c:pt idx="35">
                  <c:v>1159</c:v>
                </c:pt>
                <c:pt idx="36">
                  <c:v>1294</c:v>
                </c:pt>
                <c:pt idx="37">
                  <c:v>1895</c:v>
                </c:pt>
                <c:pt idx="38">
                  <c:v>1884</c:v>
                </c:pt>
                <c:pt idx="39">
                  <c:v>345</c:v>
                </c:pt>
                <c:pt idx="40">
                  <c:v>1098</c:v>
                </c:pt>
                <c:pt idx="41">
                  <c:v>1358</c:v>
                </c:pt>
                <c:pt idx="42">
                  <c:v>609</c:v>
                </c:pt>
                <c:pt idx="43">
                  <c:v>988</c:v>
                </c:pt>
                <c:pt idx="44">
                  <c:v>1307</c:v>
                </c:pt>
                <c:pt idx="45">
                  <c:v>198</c:v>
                </c:pt>
                <c:pt idx="46">
                  <c:v>1375</c:v>
                </c:pt>
                <c:pt idx="47">
                  <c:v>833</c:v>
                </c:pt>
                <c:pt idx="48">
                  <c:v>405</c:v>
                </c:pt>
                <c:pt idx="49">
                  <c:v>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E-8743-A32B-69AD3F3FCA1A}"/>
            </c:ext>
          </c:extLst>
        </c:ser>
        <c:ser>
          <c:idx val="1"/>
          <c:order val="1"/>
          <c:tx>
            <c:strRef>
              <c:f>'Task 6'!$C$1:$C$2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6'!$A$3:$A$54</c:f>
              <c:strCache>
                <c:ptCount val="51"/>
                <c:pt idx="0">
                  <c:v>03/06/24</c:v>
                </c:pt>
                <c:pt idx="1">
                  <c:v>10/06/24</c:v>
                </c:pt>
                <c:pt idx="2">
                  <c:v>17/06/24</c:v>
                </c:pt>
                <c:pt idx="3">
                  <c:v>24/06/24</c:v>
                </c:pt>
                <c:pt idx="4">
                  <c:v>01/07/24</c:v>
                </c:pt>
                <c:pt idx="5">
                  <c:v>08/07/24</c:v>
                </c:pt>
                <c:pt idx="6">
                  <c:v>15/07/24</c:v>
                </c:pt>
                <c:pt idx="7">
                  <c:v>22/07/24</c:v>
                </c:pt>
                <c:pt idx="8">
                  <c:v>29/07/24</c:v>
                </c:pt>
                <c:pt idx="9">
                  <c:v>05/08/24</c:v>
                </c:pt>
                <c:pt idx="10">
                  <c:v>12/08/24</c:v>
                </c:pt>
                <c:pt idx="11">
                  <c:v>19/08/24</c:v>
                </c:pt>
                <c:pt idx="12">
                  <c:v>26/08/24</c:v>
                </c:pt>
                <c:pt idx="13">
                  <c:v>02/09/24</c:v>
                </c:pt>
                <c:pt idx="14">
                  <c:v>09/09/24</c:v>
                </c:pt>
                <c:pt idx="15">
                  <c:v>16/09/24</c:v>
                </c:pt>
                <c:pt idx="16">
                  <c:v>23/09/24</c:v>
                </c:pt>
                <c:pt idx="17">
                  <c:v>30/09/24</c:v>
                </c:pt>
                <c:pt idx="18">
                  <c:v>07/10/24</c:v>
                </c:pt>
                <c:pt idx="19">
                  <c:v>14/10/24</c:v>
                </c:pt>
                <c:pt idx="20">
                  <c:v>21/10/24</c:v>
                </c:pt>
                <c:pt idx="21">
                  <c:v>28/10/24</c:v>
                </c:pt>
                <c:pt idx="22">
                  <c:v>04/11/24</c:v>
                </c:pt>
                <c:pt idx="23">
                  <c:v>11/11/24</c:v>
                </c:pt>
                <c:pt idx="24">
                  <c:v>18/11/24</c:v>
                </c:pt>
                <c:pt idx="25">
                  <c:v>25/11/24</c:v>
                </c:pt>
                <c:pt idx="26">
                  <c:v>02/12/24</c:v>
                </c:pt>
                <c:pt idx="27">
                  <c:v>09/12/24</c:v>
                </c:pt>
                <c:pt idx="28">
                  <c:v>16/12/24</c:v>
                </c:pt>
                <c:pt idx="29">
                  <c:v>23/12/24</c:v>
                </c:pt>
                <c:pt idx="30">
                  <c:v>30/12/24</c:v>
                </c:pt>
                <c:pt idx="31">
                  <c:v>06/01/25</c:v>
                </c:pt>
                <c:pt idx="32">
                  <c:v>13/01/25</c:v>
                </c:pt>
                <c:pt idx="33">
                  <c:v>20/01/25</c:v>
                </c:pt>
                <c:pt idx="34">
                  <c:v>27/01/25</c:v>
                </c:pt>
                <c:pt idx="35">
                  <c:v>03/02/25</c:v>
                </c:pt>
                <c:pt idx="36">
                  <c:v>10/02/25</c:v>
                </c:pt>
                <c:pt idx="37">
                  <c:v>17/02/25</c:v>
                </c:pt>
                <c:pt idx="38">
                  <c:v>24/02/25</c:v>
                </c:pt>
                <c:pt idx="39">
                  <c:v>03/03/25</c:v>
                </c:pt>
                <c:pt idx="40">
                  <c:v>10/03/25</c:v>
                </c:pt>
                <c:pt idx="41">
                  <c:v>17/03/25</c:v>
                </c:pt>
                <c:pt idx="42">
                  <c:v>24/03/25</c:v>
                </c:pt>
                <c:pt idx="43">
                  <c:v>31/03/25</c:v>
                </c:pt>
                <c:pt idx="44">
                  <c:v>07/04/25</c:v>
                </c:pt>
                <c:pt idx="45">
                  <c:v>14/04/25</c:v>
                </c:pt>
                <c:pt idx="46">
                  <c:v>21/04/25</c:v>
                </c:pt>
                <c:pt idx="47">
                  <c:v>28/04/25</c:v>
                </c:pt>
                <c:pt idx="48">
                  <c:v>05/05/25</c:v>
                </c:pt>
                <c:pt idx="49">
                  <c:v>12/05/25</c:v>
                </c:pt>
                <c:pt idx="50">
                  <c:v>(blank)</c:v>
                </c:pt>
              </c:strCache>
            </c:strRef>
          </c:cat>
          <c:val>
            <c:numRef>
              <c:f>'Task 6'!$C$3:$C$54</c:f>
              <c:numCache>
                <c:formatCode>General</c:formatCode>
                <c:ptCount val="51"/>
                <c:pt idx="0">
                  <c:v>1135</c:v>
                </c:pt>
                <c:pt idx="1">
                  <c:v>656</c:v>
                </c:pt>
                <c:pt idx="2">
                  <c:v>1048</c:v>
                </c:pt>
                <c:pt idx="3">
                  <c:v>911</c:v>
                </c:pt>
                <c:pt idx="4">
                  <c:v>226</c:v>
                </c:pt>
                <c:pt idx="5">
                  <c:v>1757</c:v>
                </c:pt>
                <c:pt idx="6">
                  <c:v>1960</c:v>
                </c:pt>
                <c:pt idx="7">
                  <c:v>508</c:v>
                </c:pt>
                <c:pt idx="8">
                  <c:v>653</c:v>
                </c:pt>
                <c:pt idx="9">
                  <c:v>645</c:v>
                </c:pt>
                <c:pt idx="10">
                  <c:v>1528</c:v>
                </c:pt>
                <c:pt idx="11">
                  <c:v>215</c:v>
                </c:pt>
                <c:pt idx="12">
                  <c:v>1685</c:v>
                </c:pt>
                <c:pt idx="13">
                  <c:v>1429</c:v>
                </c:pt>
                <c:pt idx="14">
                  <c:v>1592</c:v>
                </c:pt>
                <c:pt idx="15">
                  <c:v>778</c:v>
                </c:pt>
                <c:pt idx="16">
                  <c:v>817</c:v>
                </c:pt>
                <c:pt idx="17">
                  <c:v>1433</c:v>
                </c:pt>
                <c:pt idx="18">
                  <c:v>1939</c:v>
                </c:pt>
                <c:pt idx="19">
                  <c:v>1527</c:v>
                </c:pt>
                <c:pt idx="20">
                  <c:v>703</c:v>
                </c:pt>
                <c:pt idx="21">
                  <c:v>642</c:v>
                </c:pt>
                <c:pt idx="22">
                  <c:v>1466</c:v>
                </c:pt>
                <c:pt idx="23">
                  <c:v>1075</c:v>
                </c:pt>
                <c:pt idx="24">
                  <c:v>187</c:v>
                </c:pt>
                <c:pt idx="25">
                  <c:v>1854</c:v>
                </c:pt>
                <c:pt idx="26">
                  <c:v>1696</c:v>
                </c:pt>
                <c:pt idx="27">
                  <c:v>1494</c:v>
                </c:pt>
                <c:pt idx="28">
                  <c:v>1502</c:v>
                </c:pt>
                <c:pt idx="29">
                  <c:v>1092</c:v>
                </c:pt>
                <c:pt idx="30">
                  <c:v>1814</c:v>
                </c:pt>
                <c:pt idx="31">
                  <c:v>1013</c:v>
                </c:pt>
                <c:pt idx="32">
                  <c:v>1855</c:v>
                </c:pt>
                <c:pt idx="33">
                  <c:v>1748</c:v>
                </c:pt>
                <c:pt idx="34">
                  <c:v>115</c:v>
                </c:pt>
                <c:pt idx="35">
                  <c:v>1556</c:v>
                </c:pt>
                <c:pt idx="36">
                  <c:v>1957</c:v>
                </c:pt>
                <c:pt idx="37">
                  <c:v>1138</c:v>
                </c:pt>
                <c:pt idx="38">
                  <c:v>1440</c:v>
                </c:pt>
                <c:pt idx="39">
                  <c:v>1371</c:v>
                </c:pt>
                <c:pt idx="40">
                  <c:v>393</c:v>
                </c:pt>
                <c:pt idx="41">
                  <c:v>1102</c:v>
                </c:pt>
                <c:pt idx="42">
                  <c:v>490</c:v>
                </c:pt>
                <c:pt idx="43">
                  <c:v>1033</c:v>
                </c:pt>
                <c:pt idx="44">
                  <c:v>559</c:v>
                </c:pt>
                <c:pt idx="45">
                  <c:v>198</c:v>
                </c:pt>
                <c:pt idx="46">
                  <c:v>961</c:v>
                </c:pt>
                <c:pt idx="47">
                  <c:v>1693</c:v>
                </c:pt>
                <c:pt idx="48">
                  <c:v>1957</c:v>
                </c:pt>
                <c:pt idx="49">
                  <c:v>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E-8743-A32B-69AD3F3FCA1A}"/>
            </c:ext>
          </c:extLst>
        </c:ser>
        <c:ser>
          <c:idx val="2"/>
          <c:order val="2"/>
          <c:tx>
            <c:strRef>
              <c:f>'Task 6'!$D$1:$D$2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6'!$A$3:$A$54</c:f>
              <c:strCache>
                <c:ptCount val="51"/>
                <c:pt idx="0">
                  <c:v>03/06/24</c:v>
                </c:pt>
                <c:pt idx="1">
                  <c:v>10/06/24</c:v>
                </c:pt>
                <c:pt idx="2">
                  <c:v>17/06/24</c:v>
                </c:pt>
                <c:pt idx="3">
                  <c:v>24/06/24</c:v>
                </c:pt>
                <c:pt idx="4">
                  <c:v>01/07/24</c:v>
                </c:pt>
                <c:pt idx="5">
                  <c:v>08/07/24</c:v>
                </c:pt>
                <c:pt idx="6">
                  <c:v>15/07/24</c:v>
                </c:pt>
                <c:pt idx="7">
                  <c:v>22/07/24</c:v>
                </c:pt>
                <c:pt idx="8">
                  <c:v>29/07/24</c:v>
                </c:pt>
                <c:pt idx="9">
                  <c:v>05/08/24</c:v>
                </c:pt>
                <c:pt idx="10">
                  <c:v>12/08/24</c:v>
                </c:pt>
                <c:pt idx="11">
                  <c:v>19/08/24</c:v>
                </c:pt>
                <c:pt idx="12">
                  <c:v>26/08/24</c:v>
                </c:pt>
                <c:pt idx="13">
                  <c:v>02/09/24</c:v>
                </c:pt>
                <c:pt idx="14">
                  <c:v>09/09/24</c:v>
                </c:pt>
                <c:pt idx="15">
                  <c:v>16/09/24</c:v>
                </c:pt>
                <c:pt idx="16">
                  <c:v>23/09/24</c:v>
                </c:pt>
                <c:pt idx="17">
                  <c:v>30/09/24</c:v>
                </c:pt>
                <c:pt idx="18">
                  <c:v>07/10/24</c:v>
                </c:pt>
                <c:pt idx="19">
                  <c:v>14/10/24</c:v>
                </c:pt>
                <c:pt idx="20">
                  <c:v>21/10/24</c:v>
                </c:pt>
                <c:pt idx="21">
                  <c:v>28/10/24</c:v>
                </c:pt>
                <c:pt idx="22">
                  <c:v>04/11/24</c:v>
                </c:pt>
                <c:pt idx="23">
                  <c:v>11/11/24</c:v>
                </c:pt>
                <c:pt idx="24">
                  <c:v>18/11/24</c:v>
                </c:pt>
                <c:pt idx="25">
                  <c:v>25/11/24</c:v>
                </c:pt>
                <c:pt idx="26">
                  <c:v>02/12/24</c:v>
                </c:pt>
                <c:pt idx="27">
                  <c:v>09/12/24</c:v>
                </c:pt>
                <c:pt idx="28">
                  <c:v>16/12/24</c:v>
                </c:pt>
                <c:pt idx="29">
                  <c:v>23/12/24</c:v>
                </c:pt>
                <c:pt idx="30">
                  <c:v>30/12/24</c:v>
                </c:pt>
                <c:pt idx="31">
                  <c:v>06/01/25</c:v>
                </c:pt>
                <c:pt idx="32">
                  <c:v>13/01/25</c:v>
                </c:pt>
                <c:pt idx="33">
                  <c:v>20/01/25</c:v>
                </c:pt>
                <c:pt idx="34">
                  <c:v>27/01/25</c:v>
                </c:pt>
                <c:pt idx="35">
                  <c:v>03/02/25</c:v>
                </c:pt>
                <c:pt idx="36">
                  <c:v>10/02/25</c:v>
                </c:pt>
                <c:pt idx="37">
                  <c:v>17/02/25</c:v>
                </c:pt>
                <c:pt idx="38">
                  <c:v>24/02/25</c:v>
                </c:pt>
                <c:pt idx="39">
                  <c:v>03/03/25</c:v>
                </c:pt>
                <c:pt idx="40">
                  <c:v>10/03/25</c:v>
                </c:pt>
                <c:pt idx="41">
                  <c:v>17/03/25</c:v>
                </c:pt>
                <c:pt idx="42">
                  <c:v>24/03/25</c:v>
                </c:pt>
                <c:pt idx="43">
                  <c:v>31/03/25</c:v>
                </c:pt>
                <c:pt idx="44">
                  <c:v>07/04/25</c:v>
                </c:pt>
                <c:pt idx="45">
                  <c:v>14/04/25</c:v>
                </c:pt>
                <c:pt idx="46">
                  <c:v>21/04/25</c:v>
                </c:pt>
                <c:pt idx="47">
                  <c:v>28/04/25</c:v>
                </c:pt>
                <c:pt idx="48">
                  <c:v>05/05/25</c:v>
                </c:pt>
                <c:pt idx="49">
                  <c:v>12/05/25</c:v>
                </c:pt>
                <c:pt idx="50">
                  <c:v>(blank)</c:v>
                </c:pt>
              </c:strCache>
            </c:strRef>
          </c:cat>
          <c:val>
            <c:numRef>
              <c:f>'Task 6'!$D$3:$D$54</c:f>
              <c:numCache>
                <c:formatCode>General</c:formatCode>
                <c:ptCount val="51"/>
                <c:pt idx="0">
                  <c:v>584</c:v>
                </c:pt>
                <c:pt idx="1">
                  <c:v>436</c:v>
                </c:pt>
                <c:pt idx="2">
                  <c:v>1335</c:v>
                </c:pt>
                <c:pt idx="3">
                  <c:v>1238</c:v>
                </c:pt>
                <c:pt idx="4">
                  <c:v>1420</c:v>
                </c:pt>
                <c:pt idx="5">
                  <c:v>987</c:v>
                </c:pt>
                <c:pt idx="6">
                  <c:v>704</c:v>
                </c:pt>
                <c:pt idx="7">
                  <c:v>1701</c:v>
                </c:pt>
                <c:pt idx="8">
                  <c:v>1756</c:v>
                </c:pt>
                <c:pt idx="9">
                  <c:v>826</c:v>
                </c:pt>
                <c:pt idx="10">
                  <c:v>485</c:v>
                </c:pt>
                <c:pt idx="11">
                  <c:v>1751</c:v>
                </c:pt>
                <c:pt idx="12">
                  <c:v>1300</c:v>
                </c:pt>
                <c:pt idx="13">
                  <c:v>557</c:v>
                </c:pt>
                <c:pt idx="14">
                  <c:v>751</c:v>
                </c:pt>
                <c:pt idx="15">
                  <c:v>1472</c:v>
                </c:pt>
                <c:pt idx="16">
                  <c:v>1911</c:v>
                </c:pt>
                <c:pt idx="17">
                  <c:v>752</c:v>
                </c:pt>
                <c:pt idx="18">
                  <c:v>437</c:v>
                </c:pt>
                <c:pt idx="19">
                  <c:v>201</c:v>
                </c:pt>
                <c:pt idx="20">
                  <c:v>697</c:v>
                </c:pt>
                <c:pt idx="21">
                  <c:v>191</c:v>
                </c:pt>
                <c:pt idx="22">
                  <c:v>1821</c:v>
                </c:pt>
                <c:pt idx="23">
                  <c:v>1487</c:v>
                </c:pt>
                <c:pt idx="24">
                  <c:v>628</c:v>
                </c:pt>
                <c:pt idx="25">
                  <c:v>330</c:v>
                </c:pt>
                <c:pt idx="26">
                  <c:v>1441</c:v>
                </c:pt>
                <c:pt idx="27">
                  <c:v>1937</c:v>
                </c:pt>
                <c:pt idx="28">
                  <c:v>1592</c:v>
                </c:pt>
                <c:pt idx="29">
                  <c:v>1137</c:v>
                </c:pt>
                <c:pt idx="30">
                  <c:v>1786</c:v>
                </c:pt>
                <c:pt idx="31">
                  <c:v>1633</c:v>
                </c:pt>
                <c:pt idx="32">
                  <c:v>118</c:v>
                </c:pt>
                <c:pt idx="33">
                  <c:v>1040</c:v>
                </c:pt>
                <c:pt idx="34">
                  <c:v>1501</c:v>
                </c:pt>
                <c:pt idx="35">
                  <c:v>927</c:v>
                </c:pt>
                <c:pt idx="36">
                  <c:v>1587</c:v>
                </c:pt>
                <c:pt idx="37">
                  <c:v>362</c:v>
                </c:pt>
                <c:pt idx="38">
                  <c:v>861</c:v>
                </c:pt>
                <c:pt idx="39">
                  <c:v>946</c:v>
                </c:pt>
                <c:pt idx="40">
                  <c:v>1399</c:v>
                </c:pt>
                <c:pt idx="41">
                  <c:v>1077</c:v>
                </c:pt>
                <c:pt idx="42">
                  <c:v>364</c:v>
                </c:pt>
                <c:pt idx="43">
                  <c:v>1946</c:v>
                </c:pt>
                <c:pt idx="44">
                  <c:v>1432</c:v>
                </c:pt>
                <c:pt idx="45">
                  <c:v>353</c:v>
                </c:pt>
                <c:pt idx="46">
                  <c:v>1147</c:v>
                </c:pt>
                <c:pt idx="47">
                  <c:v>1222</c:v>
                </c:pt>
                <c:pt idx="48">
                  <c:v>1581</c:v>
                </c:pt>
                <c:pt idx="49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E-8743-A32B-69AD3F3FCA1A}"/>
            </c:ext>
          </c:extLst>
        </c:ser>
        <c:ser>
          <c:idx val="3"/>
          <c:order val="3"/>
          <c:tx>
            <c:strRef>
              <c:f>'Task 6'!$E$1:$E$2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6'!$A$3:$A$54</c:f>
              <c:strCache>
                <c:ptCount val="51"/>
                <c:pt idx="0">
                  <c:v>03/06/24</c:v>
                </c:pt>
                <c:pt idx="1">
                  <c:v>10/06/24</c:v>
                </c:pt>
                <c:pt idx="2">
                  <c:v>17/06/24</c:v>
                </c:pt>
                <c:pt idx="3">
                  <c:v>24/06/24</c:v>
                </c:pt>
                <c:pt idx="4">
                  <c:v>01/07/24</c:v>
                </c:pt>
                <c:pt idx="5">
                  <c:v>08/07/24</c:v>
                </c:pt>
                <c:pt idx="6">
                  <c:v>15/07/24</c:v>
                </c:pt>
                <c:pt idx="7">
                  <c:v>22/07/24</c:v>
                </c:pt>
                <c:pt idx="8">
                  <c:v>29/07/24</c:v>
                </c:pt>
                <c:pt idx="9">
                  <c:v>05/08/24</c:v>
                </c:pt>
                <c:pt idx="10">
                  <c:v>12/08/24</c:v>
                </c:pt>
                <c:pt idx="11">
                  <c:v>19/08/24</c:v>
                </c:pt>
                <c:pt idx="12">
                  <c:v>26/08/24</c:v>
                </c:pt>
                <c:pt idx="13">
                  <c:v>02/09/24</c:v>
                </c:pt>
                <c:pt idx="14">
                  <c:v>09/09/24</c:v>
                </c:pt>
                <c:pt idx="15">
                  <c:v>16/09/24</c:v>
                </c:pt>
                <c:pt idx="16">
                  <c:v>23/09/24</c:v>
                </c:pt>
                <c:pt idx="17">
                  <c:v>30/09/24</c:v>
                </c:pt>
                <c:pt idx="18">
                  <c:v>07/10/24</c:v>
                </c:pt>
                <c:pt idx="19">
                  <c:v>14/10/24</c:v>
                </c:pt>
                <c:pt idx="20">
                  <c:v>21/10/24</c:v>
                </c:pt>
                <c:pt idx="21">
                  <c:v>28/10/24</c:v>
                </c:pt>
                <c:pt idx="22">
                  <c:v>04/11/24</c:v>
                </c:pt>
                <c:pt idx="23">
                  <c:v>11/11/24</c:v>
                </c:pt>
                <c:pt idx="24">
                  <c:v>18/11/24</c:v>
                </c:pt>
                <c:pt idx="25">
                  <c:v>25/11/24</c:v>
                </c:pt>
                <c:pt idx="26">
                  <c:v>02/12/24</c:v>
                </c:pt>
                <c:pt idx="27">
                  <c:v>09/12/24</c:v>
                </c:pt>
                <c:pt idx="28">
                  <c:v>16/12/24</c:v>
                </c:pt>
                <c:pt idx="29">
                  <c:v>23/12/24</c:v>
                </c:pt>
                <c:pt idx="30">
                  <c:v>30/12/24</c:v>
                </c:pt>
                <c:pt idx="31">
                  <c:v>06/01/25</c:v>
                </c:pt>
                <c:pt idx="32">
                  <c:v>13/01/25</c:v>
                </c:pt>
                <c:pt idx="33">
                  <c:v>20/01/25</c:v>
                </c:pt>
                <c:pt idx="34">
                  <c:v>27/01/25</c:v>
                </c:pt>
                <c:pt idx="35">
                  <c:v>03/02/25</c:v>
                </c:pt>
                <c:pt idx="36">
                  <c:v>10/02/25</c:v>
                </c:pt>
                <c:pt idx="37">
                  <c:v>17/02/25</c:v>
                </c:pt>
                <c:pt idx="38">
                  <c:v>24/02/25</c:v>
                </c:pt>
                <c:pt idx="39">
                  <c:v>03/03/25</c:v>
                </c:pt>
                <c:pt idx="40">
                  <c:v>10/03/25</c:v>
                </c:pt>
                <c:pt idx="41">
                  <c:v>17/03/25</c:v>
                </c:pt>
                <c:pt idx="42">
                  <c:v>24/03/25</c:v>
                </c:pt>
                <c:pt idx="43">
                  <c:v>31/03/25</c:v>
                </c:pt>
                <c:pt idx="44">
                  <c:v>07/04/25</c:v>
                </c:pt>
                <c:pt idx="45">
                  <c:v>14/04/25</c:v>
                </c:pt>
                <c:pt idx="46">
                  <c:v>21/04/25</c:v>
                </c:pt>
                <c:pt idx="47">
                  <c:v>28/04/25</c:v>
                </c:pt>
                <c:pt idx="48">
                  <c:v>05/05/25</c:v>
                </c:pt>
                <c:pt idx="49">
                  <c:v>12/05/25</c:v>
                </c:pt>
                <c:pt idx="50">
                  <c:v>(blank)</c:v>
                </c:pt>
              </c:strCache>
            </c:strRef>
          </c:cat>
          <c:val>
            <c:numRef>
              <c:f>'Task 6'!$E$3:$E$54</c:f>
              <c:numCache>
                <c:formatCode>General</c:formatCode>
                <c:ptCount val="51"/>
                <c:pt idx="0">
                  <c:v>1535</c:v>
                </c:pt>
                <c:pt idx="1">
                  <c:v>1197</c:v>
                </c:pt>
                <c:pt idx="2">
                  <c:v>403</c:v>
                </c:pt>
                <c:pt idx="3">
                  <c:v>308</c:v>
                </c:pt>
                <c:pt idx="4">
                  <c:v>144</c:v>
                </c:pt>
                <c:pt idx="5">
                  <c:v>883</c:v>
                </c:pt>
                <c:pt idx="6">
                  <c:v>224</c:v>
                </c:pt>
                <c:pt idx="7">
                  <c:v>804</c:v>
                </c:pt>
                <c:pt idx="8">
                  <c:v>576</c:v>
                </c:pt>
                <c:pt idx="9">
                  <c:v>460</c:v>
                </c:pt>
                <c:pt idx="10">
                  <c:v>1210</c:v>
                </c:pt>
                <c:pt idx="11">
                  <c:v>221</c:v>
                </c:pt>
                <c:pt idx="12">
                  <c:v>422</c:v>
                </c:pt>
                <c:pt idx="13">
                  <c:v>728</c:v>
                </c:pt>
                <c:pt idx="14">
                  <c:v>1409</c:v>
                </c:pt>
                <c:pt idx="15">
                  <c:v>123</c:v>
                </c:pt>
                <c:pt idx="16">
                  <c:v>1218</c:v>
                </c:pt>
                <c:pt idx="17">
                  <c:v>1918</c:v>
                </c:pt>
                <c:pt idx="18">
                  <c:v>307</c:v>
                </c:pt>
                <c:pt idx="19">
                  <c:v>414</c:v>
                </c:pt>
                <c:pt idx="20">
                  <c:v>1707</c:v>
                </c:pt>
                <c:pt idx="21">
                  <c:v>1814</c:v>
                </c:pt>
                <c:pt idx="22">
                  <c:v>1507</c:v>
                </c:pt>
                <c:pt idx="23">
                  <c:v>454</c:v>
                </c:pt>
                <c:pt idx="24">
                  <c:v>278</c:v>
                </c:pt>
                <c:pt idx="25">
                  <c:v>1293</c:v>
                </c:pt>
                <c:pt idx="26">
                  <c:v>452</c:v>
                </c:pt>
                <c:pt idx="27">
                  <c:v>736</c:v>
                </c:pt>
                <c:pt idx="28">
                  <c:v>1004</c:v>
                </c:pt>
                <c:pt idx="29">
                  <c:v>1900</c:v>
                </c:pt>
                <c:pt idx="30">
                  <c:v>1495</c:v>
                </c:pt>
                <c:pt idx="31">
                  <c:v>891</c:v>
                </c:pt>
                <c:pt idx="32">
                  <c:v>1331</c:v>
                </c:pt>
                <c:pt idx="33">
                  <c:v>1166</c:v>
                </c:pt>
                <c:pt idx="34">
                  <c:v>1411</c:v>
                </c:pt>
                <c:pt idx="35">
                  <c:v>152</c:v>
                </c:pt>
                <c:pt idx="36">
                  <c:v>1707</c:v>
                </c:pt>
                <c:pt idx="37">
                  <c:v>1662</c:v>
                </c:pt>
                <c:pt idx="38">
                  <c:v>1063</c:v>
                </c:pt>
                <c:pt idx="39">
                  <c:v>510</c:v>
                </c:pt>
                <c:pt idx="40">
                  <c:v>1658</c:v>
                </c:pt>
                <c:pt idx="41">
                  <c:v>1596</c:v>
                </c:pt>
                <c:pt idx="42">
                  <c:v>442</c:v>
                </c:pt>
                <c:pt idx="43">
                  <c:v>1957</c:v>
                </c:pt>
                <c:pt idx="44">
                  <c:v>623</c:v>
                </c:pt>
                <c:pt idx="45">
                  <c:v>520</c:v>
                </c:pt>
                <c:pt idx="46">
                  <c:v>1707</c:v>
                </c:pt>
                <c:pt idx="47">
                  <c:v>777</c:v>
                </c:pt>
                <c:pt idx="48">
                  <c:v>1035</c:v>
                </c:pt>
                <c:pt idx="49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4E-8743-A32B-69AD3F3FCA1A}"/>
            </c:ext>
          </c:extLst>
        </c:ser>
        <c:ser>
          <c:idx val="4"/>
          <c:order val="4"/>
          <c:tx>
            <c:strRef>
              <c:f>'Task 6'!$F$1:$F$2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6'!$A$3:$A$54</c:f>
              <c:strCache>
                <c:ptCount val="51"/>
                <c:pt idx="0">
                  <c:v>03/06/24</c:v>
                </c:pt>
                <c:pt idx="1">
                  <c:v>10/06/24</c:v>
                </c:pt>
                <c:pt idx="2">
                  <c:v>17/06/24</c:v>
                </c:pt>
                <c:pt idx="3">
                  <c:v>24/06/24</c:v>
                </c:pt>
                <c:pt idx="4">
                  <c:v>01/07/24</c:v>
                </c:pt>
                <c:pt idx="5">
                  <c:v>08/07/24</c:v>
                </c:pt>
                <c:pt idx="6">
                  <c:v>15/07/24</c:v>
                </c:pt>
                <c:pt idx="7">
                  <c:v>22/07/24</c:v>
                </c:pt>
                <c:pt idx="8">
                  <c:v>29/07/24</c:v>
                </c:pt>
                <c:pt idx="9">
                  <c:v>05/08/24</c:v>
                </c:pt>
                <c:pt idx="10">
                  <c:v>12/08/24</c:v>
                </c:pt>
                <c:pt idx="11">
                  <c:v>19/08/24</c:v>
                </c:pt>
                <c:pt idx="12">
                  <c:v>26/08/24</c:v>
                </c:pt>
                <c:pt idx="13">
                  <c:v>02/09/24</c:v>
                </c:pt>
                <c:pt idx="14">
                  <c:v>09/09/24</c:v>
                </c:pt>
                <c:pt idx="15">
                  <c:v>16/09/24</c:v>
                </c:pt>
                <c:pt idx="16">
                  <c:v>23/09/24</c:v>
                </c:pt>
                <c:pt idx="17">
                  <c:v>30/09/24</c:v>
                </c:pt>
                <c:pt idx="18">
                  <c:v>07/10/24</c:v>
                </c:pt>
                <c:pt idx="19">
                  <c:v>14/10/24</c:v>
                </c:pt>
                <c:pt idx="20">
                  <c:v>21/10/24</c:v>
                </c:pt>
                <c:pt idx="21">
                  <c:v>28/10/24</c:v>
                </c:pt>
                <c:pt idx="22">
                  <c:v>04/11/24</c:v>
                </c:pt>
                <c:pt idx="23">
                  <c:v>11/11/24</c:v>
                </c:pt>
                <c:pt idx="24">
                  <c:v>18/11/24</c:v>
                </c:pt>
                <c:pt idx="25">
                  <c:v>25/11/24</c:v>
                </c:pt>
                <c:pt idx="26">
                  <c:v>02/12/24</c:v>
                </c:pt>
                <c:pt idx="27">
                  <c:v>09/12/24</c:v>
                </c:pt>
                <c:pt idx="28">
                  <c:v>16/12/24</c:v>
                </c:pt>
                <c:pt idx="29">
                  <c:v>23/12/24</c:v>
                </c:pt>
                <c:pt idx="30">
                  <c:v>30/12/24</c:v>
                </c:pt>
                <c:pt idx="31">
                  <c:v>06/01/25</c:v>
                </c:pt>
                <c:pt idx="32">
                  <c:v>13/01/25</c:v>
                </c:pt>
                <c:pt idx="33">
                  <c:v>20/01/25</c:v>
                </c:pt>
                <c:pt idx="34">
                  <c:v>27/01/25</c:v>
                </c:pt>
                <c:pt idx="35">
                  <c:v>03/02/25</c:v>
                </c:pt>
                <c:pt idx="36">
                  <c:v>10/02/25</c:v>
                </c:pt>
                <c:pt idx="37">
                  <c:v>17/02/25</c:v>
                </c:pt>
                <c:pt idx="38">
                  <c:v>24/02/25</c:v>
                </c:pt>
                <c:pt idx="39">
                  <c:v>03/03/25</c:v>
                </c:pt>
                <c:pt idx="40">
                  <c:v>10/03/25</c:v>
                </c:pt>
                <c:pt idx="41">
                  <c:v>17/03/25</c:v>
                </c:pt>
                <c:pt idx="42">
                  <c:v>24/03/25</c:v>
                </c:pt>
                <c:pt idx="43">
                  <c:v>31/03/25</c:v>
                </c:pt>
                <c:pt idx="44">
                  <c:v>07/04/25</c:v>
                </c:pt>
                <c:pt idx="45">
                  <c:v>14/04/25</c:v>
                </c:pt>
                <c:pt idx="46">
                  <c:v>21/04/25</c:v>
                </c:pt>
                <c:pt idx="47">
                  <c:v>28/04/25</c:v>
                </c:pt>
                <c:pt idx="48">
                  <c:v>05/05/25</c:v>
                </c:pt>
                <c:pt idx="49">
                  <c:v>12/05/25</c:v>
                </c:pt>
                <c:pt idx="50">
                  <c:v>(blank)</c:v>
                </c:pt>
              </c:strCache>
            </c:strRef>
          </c:cat>
          <c:val>
            <c:numRef>
              <c:f>'Task 6'!$F$3:$F$54</c:f>
              <c:numCache>
                <c:formatCode>General</c:formatCode>
                <c:ptCount val="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4E-8743-A32B-69AD3F3F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883567"/>
        <c:axId val="1313447503"/>
      </c:lineChart>
      <c:catAx>
        <c:axId val="13128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47503"/>
        <c:crosses val="autoZero"/>
        <c:auto val="1"/>
        <c:lblAlgn val="ctr"/>
        <c:lblOffset val="100"/>
        <c:noMultiLvlLbl val="0"/>
      </c:catAx>
      <c:valAx>
        <c:axId val="13134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6'!$K$1</c:f>
              <c:strCache>
                <c:ptCount val="1"/>
                <c:pt idx="0">
                  <c:v>Follower Growth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 6'!$J$3:$J$202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'Task 6'!$K$3:$K$202</c:f>
              <c:numCache>
                <c:formatCode>General</c:formatCode>
                <c:ptCount val="200"/>
                <c:pt idx="0">
                  <c:v>1002</c:v>
                </c:pt>
                <c:pt idx="1">
                  <c:v>415</c:v>
                </c:pt>
                <c:pt idx="2">
                  <c:v>1090</c:v>
                </c:pt>
                <c:pt idx="3">
                  <c:v>517</c:v>
                </c:pt>
                <c:pt idx="4">
                  <c:v>1283</c:v>
                </c:pt>
                <c:pt idx="5">
                  <c:v>186</c:v>
                </c:pt>
                <c:pt idx="6">
                  <c:v>994</c:v>
                </c:pt>
                <c:pt idx="7">
                  <c:v>893</c:v>
                </c:pt>
                <c:pt idx="8">
                  <c:v>1382</c:v>
                </c:pt>
                <c:pt idx="9">
                  <c:v>1295</c:v>
                </c:pt>
                <c:pt idx="10">
                  <c:v>337</c:v>
                </c:pt>
                <c:pt idx="11">
                  <c:v>629</c:v>
                </c:pt>
                <c:pt idx="12">
                  <c:v>1670</c:v>
                </c:pt>
                <c:pt idx="13">
                  <c:v>835</c:v>
                </c:pt>
                <c:pt idx="14">
                  <c:v>-123</c:v>
                </c:pt>
                <c:pt idx="15">
                  <c:v>-219</c:v>
                </c:pt>
                <c:pt idx="16">
                  <c:v>64</c:v>
                </c:pt>
                <c:pt idx="17">
                  <c:v>1357</c:v>
                </c:pt>
                <c:pt idx="18">
                  <c:v>91</c:v>
                </c:pt>
                <c:pt idx="19">
                  <c:v>1672</c:v>
                </c:pt>
                <c:pt idx="20">
                  <c:v>309</c:v>
                </c:pt>
                <c:pt idx="21">
                  <c:v>547</c:v>
                </c:pt>
                <c:pt idx="22">
                  <c:v>514</c:v>
                </c:pt>
                <c:pt idx="23">
                  <c:v>1845</c:v>
                </c:pt>
                <c:pt idx="24">
                  <c:v>-164</c:v>
                </c:pt>
                <c:pt idx="25">
                  <c:v>429</c:v>
                </c:pt>
                <c:pt idx="26">
                  <c:v>160</c:v>
                </c:pt>
                <c:pt idx="27">
                  <c:v>159</c:v>
                </c:pt>
                <c:pt idx="28">
                  <c:v>961</c:v>
                </c:pt>
                <c:pt idx="29">
                  <c:v>1316</c:v>
                </c:pt>
                <c:pt idx="30">
                  <c:v>317</c:v>
                </c:pt>
                <c:pt idx="31">
                  <c:v>541</c:v>
                </c:pt>
                <c:pt idx="32">
                  <c:v>-318</c:v>
                </c:pt>
                <c:pt idx="33">
                  <c:v>1495</c:v>
                </c:pt>
                <c:pt idx="34">
                  <c:v>475</c:v>
                </c:pt>
                <c:pt idx="35">
                  <c:v>352</c:v>
                </c:pt>
                <c:pt idx="36">
                  <c:v>-197</c:v>
                </c:pt>
                <c:pt idx="37">
                  <c:v>328</c:v>
                </c:pt>
                <c:pt idx="38">
                  <c:v>319</c:v>
                </c:pt>
                <c:pt idx="39">
                  <c:v>1325</c:v>
                </c:pt>
                <c:pt idx="40">
                  <c:v>1334</c:v>
                </c:pt>
                <c:pt idx="41">
                  <c:v>37</c:v>
                </c:pt>
                <c:pt idx="42">
                  <c:v>1032</c:v>
                </c:pt>
                <c:pt idx="43">
                  <c:v>76</c:v>
                </c:pt>
                <c:pt idx="44">
                  <c:v>1058</c:v>
                </c:pt>
                <c:pt idx="45">
                  <c:v>1665</c:v>
                </c:pt>
                <c:pt idx="46">
                  <c:v>190</c:v>
                </c:pt>
                <c:pt idx="47">
                  <c:v>1609</c:v>
                </c:pt>
                <c:pt idx="48">
                  <c:v>37</c:v>
                </c:pt>
                <c:pt idx="49">
                  <c:v>1229</c:v>
                </c:pt>
                <c:pt idx="50">
                  <c:v>28</c:v>
                </c:pt>
                <c:pt idx="51">
                  <c:v>1247</c:v>
                </c:pt>
                <c:pt idx="52">
                  <c:v>1045</c:v>
                </c:pt>
                <c:pt idx="53">
                  <c:v>197</c:v>
                </c:pt>
                <c:pt idx="54">
                  <c:v>333</c:v>
                </c:pt>
                <c:pt idx="55">
                  <c:v>1572</c:v>
                </c:pt>
                <c:pt idx="56">
                  <c:v>1428</c:v>
                </c:pt>
                <c:pt idx="57">
                  <c:v>260</c:v>
                </c:pt>
                <c:pt idx="58">
                  <c:v>1100</c:v>
                </c:pt>
                <c:pt idx="59">
                  <c:v>377</c:v>
                </c:pt>
                <c:pt idx="60">
                  <c:v>98</c:v>
                </c:pt>
                <c:pt idx="61">
                  <c:v>1125</c:v>
                </c:pt>
                <c:pt idx="62">
                  <c:v>-32</c:v>
                </c:pt>
                <c:pt idx="63">
                  <c:v>666</c:v>
                </c:pt>
                <c:pt idx="64">
                  <c:v>-19</c:v>
                </c:pt>
                <c:pt idx="65">
                  <c:v>1680</c:v>
                </c:pt>
                <c:pt idx="66">
                  <c:v>1006</c:v>
                </c:pt>
                <c:pt idx="67">
                  <c:v>1025</c:v>
                </c:pt>
                <c:pt idx="68">
                  <c:v>-179</c:v>
                </c:pt>
                <c:pt idx="69">
                  <c:v>599</c:v>
                </c:pt>
                <c:pt idx="70">
                  <c:v>1706</c:v>
                </c:pt>
                <c:pt idx="71">
                  <c:v>1872</c:v>
                </c:pt>
                <c:pt idx="72">
                  <c:v>1662</c:v>
                </c:pt>
                <c:pt idx="73">
                  <c:v>107</c:v>
                </c:pt>
                <c:pt idx="74">
                  <c:v>118</c:v>
                </c:pt>
                <c:pt idx="75">
                  <c:v>1224</c:v>
                </c:pt>
                <c:pt idx="76">
                  <c:v>285</c:v>
                </c:pt>
                <c:pt idx="77">
                  <c:v>-20</c:v>
                </c:pt>
                <c:pt idx="78">
                  <c:v>367</c:v>
                </c:pt>
                <c:pt idx="79">
                  <c:v>262</c:v>
                </c:pt>
                <c:pt idx="80">
                  <c:v>439</c:v>
                </c:pt>
                <c:pt idx="81">
                  <c:v>636</c:v>
                </c:pt>
                <c:pt idx="82">
                  <c:v>1484</c:v>
                </c:pt>
                <c:pt idx="83">
                  <c:v>576</c:v>
                </c:pt>
                <c:pt idx="84">
                  <c:v>386</c:v>
                </c:pt>
                <c:pt idx="85">
                  <c:v>37</c:v>
                </c:pt>
                <c:pt idx="86">
                  <c:v>1657</c:v>
                </c:pt>
                <c:pt idx="87">
                  <c:v>1397</c:v>
                </c:pt>
                <c:pt idx="88">
                  <c:v>540</c:v>
                </c:pt>
                <c:pt idx="89">
                  <c:v>1603</c:v>
                </c:pt>
                <c:pt idx="90">
                  <c:v>1044</c:v>
                </c:pt>
                <c:pt idx="91">
                  <c:v>902</c:v>
                </c:pt>
                <c:pt idx="92">
                  <c:v>-106</c:v>
                </c:pt>
                <c:pt idx="93">
                  <c:v>1150</c:v>
                </c:pt>
                <c:pt idx="94">
                  <c:v>349</c:v>
                </c:pt>
                <c:pt idx="95">
                  <c:v>-49</c:v>
                </c:pt>
                <c:pt idx="96">
                  <c:v>72</c:v>
                </c:pt>
                <c:pt idx="97">
                  <c:v>445</c:v>
                </c:pt>
                <c:pt idx="98">
                  <c:v>60</c:v>
                </c:pt>
                <c:pt idx="99">
                  <c:v>1693</c:v>
                </c:pt>
                <c:pt idx="100">
                  <c:v>1332</c:v>
                </c:pt>
                <c:pt idx="101">
                  <c:v>98</c:v>
                </c:pt>
                <c:pt idx="102">
                  <c:v>885</c:v>
                </c:pt>
                <c:pt idx="103">
                  <c:v>1625</c:v>
                </c:pt>
                <c:pt idx="104">
                  <c:v>1706</c:v>
                </c:pt>
                <c:pt idx="105">
                  <c:v>1173</c:v>
                </c:pt>
                <c:pt idx="106">
                  <c:v>291</c:v>
                </c:pt>
                <c:pt idx="107">
                  <c:v>1119</c:v>
                </c:pt>
                <c:pt idx="108">
                  <c:v>1373</c:v>
                </c:pt>
                <c:pt idx="109">
                  <c:v>1727</c:v>
                </c:pt>
                <c:pt idx="110">
                  <c:v>573</c:v>
                </c:pt>
                <c:pt idx="111">
                  <c:v>1432</c:v>
                </c:pt>
                <c:pt idx="112">
                  <c:v>1377</c:v>
                </c:pt>
                <c:pt idx="113">
                  <c:v>1359</c:v>
                </c:pt>
                <c:pt idx="114">
                  <c:v>876</c:v>
                </c:pt>
                <c:pt idx="115">
                  <c:v>684</c:v>
                </c:pt>
                <c:pt idx="116">
                  <c:v>730</c:v>
                </c:pt>
                <c:pt idx="117">
                  <c:v>911</c:v>
                </c:pt>
                <c:pt idx="118">
                  <c:v>1589</c:v>
                </c:pt>
                <c:pt idx="119">
                  <c:v>1765</c:v>
                </c:pt>
                <c:pt idx="120">
                  <c:v>1776</c:v>
                </c:pt>
                <c:pt idx="121">
                  <c:v>1529</c:v>
                </c:pt>
                <c:pt idx="122">
                  <c:v>1460</c:v>
                </c:pt>
                <c:pt idx="123">
                  <c:v>903</c:v>
                </c:pt>
                <c:pt idx="124">
                  <c:v>620</c:v>
                </c:pt>
                <c:pt idx="125">
                  <c:v>1188</c:v>
                </c:pt>
                <c:pt idx="126">
                  <c:v>846</c:v>
                </c:pt>
                <c:pt idx="127">
                  <c:v>1722</c:v>
                </c:pt>
                <c:pt idx="128">
                  <c:v>298</c:v>
                </c:pt>
                <c:pt idx="129">
                  <c:v>-144</c:v>
                </c:pt>
                <c:pt idx="130">
                  <c:v>901</c:v>
                </c:pt>
                <c:pt idx="131">
                  <c:v>1572</c:v>
                </c:pt>
                <c:pt idx="132">
                  <c:v>427</c:v>
                </c:pt>
                <c:pt idx="133">
                  <c:v>891</c:v>
                </c:pt>
                <c:pt idx="134">
                  <c:v>724</c:v>
                </c:pt>
                <c:pt idx="135">
                  <c:v>-166</c:v>
                </c:pt>
                <c:pt idx="136">
                  <c:v>898</c:v>
                </c:pt>
                <c:pt idx="137">
                  <c:v>1426</c:v>
                </c:pt>
                <c:pt idx="138">
                  <c:v>1225</c:v>
                </c:pt>
                <c:pt idx="139">
                  <c:v>1080</c:v>
                </c:pt>
                <c:pt idx="140">
                  <c:v>748</c:v>
                </c:pt>
                <c:pt idx="141">
                  <c:v>569</c:v>
                </c:pt>
                <c:pt idx="142">
                  <c:v>-203</c:v>
                </c:pt>
                <c:pt idx="143">
                  <c:v>1723</c:v>
                </c:pt>
                <c:pt idx="144">
                  <c:v>912</c:v>
                </c:pt>
                <c:pt idx="145">
                  <c:v>1202</c:v>
                </c:pt>
                <c:pt idx="146">
                  <c:v>1444</c:v>
                </c:pt>
                <c:pt idx="147">
                  <c:v>965</c:v>
                </c:pt>
                <c:pt idx="148">
                  <c:v>1590</c:v>
                </c:pt>
                <c:pt idx="149">
                  <c:v>-37</c:v>
                </c:pt>
                <c:pt idx="150">
                  <c:v>1175</c:v>
                </c:pt>
                <c:pt idx="151">
                  <c:v>1375</c:v>
                </c:pt>
                <c:pt idx="152">
                  <c:v>1707</c:v>
                </c:pt>
                <c:pt idx="153">
                  <c:v>708</c:v>
                </c:pt>
                <c:pt idx="154">
                  <c:v>1016</c:v>
                </c:pt>
                <c:pt idx="155">
                  <c:v>1315</c:v>
                </c:pt>
                <c:pt idx="156">
                  <c:v>-119</c:v>
                </c:pt>
                <c:pt idx="157">
                  <c:v>899</c:v>
                </c:pt>
                <c:pt idx="158">
                  <c:v>315</c:v>
                </c:pt>
                <c:pt idx="159">
                  <c:v>212</c:v>
                </c:pt>
                <c:pt idx="160">
                  <c:v>908</c:v>
                </c:pt>
                <c:pt idx="161">
                  <c:v>1350</c:v>
                </c:pt>
                <c:pt idx="162">
                  <c:v>1242</c:v>
                </c:pt>
                <c:pt idx="163">
                  <c:v>680</c:v>
                </c:pt>
                <c:pt idx="164">
                  <c:v>1116</c:v>
                </c:pt>
                <c:pt idx="165">
                  <c:v>861</c:v>
                </c:pt>
                <c:pt idx="166">
                  <c:v>1385</c:v>
                </c:pt>
                <c:pt idx="167">
                  <c:v>461</c:v>
                </c:pt>
                <c:pt idx="168">
                  <c:v>474</c:v>
                </c:pt>
                <c:pt idx="169">
                  <c:v>292</c:v>
                </c:pt>
                <c:pt idx="170">
                  <c:v>389</c:v>
                </c:pt>
                <c:pt idx="171">
                  <c:v>641</c:v>
                </c:pt>
                <c:pt idx="172">
                  <c:v>514</c:v>
                </c:pt>
                <c:pt idx="173">
                  <c:v>1676</c:v>
                </c:pt>
                <c:pt idx="174">
                  <c:v>1467</c:v>
                </c:pt>
                <c:pt idx="175">
                  <c:v>167</c:v>
                </c:pt>
                <c:pt idx="176">
                  <c:v>1029</c:v>
                </c:pt>
                <c:pt idx="177">
                  <c:v>1007</c:v>
                </c:pt>
                <c:pt idx="178">
                  <c:v>209</c:v>
                </c:pt>
                <c:pt idx="179">
                  <c:v>-160</c:v>
                </c:pt>
                <c:pt idx="180">
                  <c:v>-175</c:v>
                </c:pt>
                <c:pt idx="181">
                  <c:v>53</c:v>
                </c:pt>
                <c:pt idx="182">
                  <c:v>145</c:v>
                </c:pt>
                <c:pt idx="183">
                  <c:v>603</c:v>
                </c:pt>
                <c:pt idx="184">
                  <c:v>1045</c:v>
                </c:pt>
                <c:pt idx="185">
                  <c:v>759</c:v>
                </c:pt>
                <c:pt idx="186">
                  <c:v>1633</c:v>
                </c:pt>
                <c:pt idx="187">
                  <c:v>1539</c:v>
                </c:pt>
                <c:pt idx="188">
                  <c:v>453</c:v>
                </c:pt>
                <c:pt idx="189">
                  <c:v>948</c:v>
                </c:pt>
                <c:pt idx="190">
                  <c:v>637</c:v>
                </c:pt>
                <c:pt idx="191">
                  <c:v>1881</c:v>
                </c:pt>
                <c:pt idx="192">
                  <c:v>339</c:v>
                </c:pt>
                <c:pt idx="193">
                  <c:v>1510</c:v>
                </c:pt>
                <c:pt idx="194">
                  <c:v>864</c:v>
                </c:pt>
                <c:pt idx="195">
                  <c:v>1656</c:v>
                </c:pt>
                <c:pt idx="196">
                  <c:v>407</c:v>
                </c:pt>
                <c:pt idx="197">
                  <c:v>269</c:v>
                </c:pt>
                <c:pt idx="198">
                  <c:v>-337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F-B146-A990-C760DDD0A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96127"/>
        <c:axId val="187568335"/>
      </c:scatterChart>
      <c:valAx>
        <c:axId val="18699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8335"/>
        <c:crosses val="autoZero"/>
        <c:crossBetween val="midCat"/>
      </c:valAx>
      <c:valAx>
        <c:axId val="187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10</xdr:row>
      <xdr:rowOff>0</xdr:rowOff>
    </xdr:from>
    <xdr:to>
      <xdr:col>7</xdr:col>
      <xdr:colOff>127000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8A77B-0FE4-02EC-C666-BAF18A9EF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349250</xdr:colOff>
      <xdr:row>0</xdr:row>
      <xdr:rowOff>0</xdr:rowOff>
    </xdr:from>
    <xdr:to>
      <xdr:col>16</xdr:col>
      <xdr:colOff>768350</xdr:colOff>
      <xdr:row>13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6C71C5-91C7-2EC6-1ADB-FB370425F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850900</xdr:colOff>
      <xdr:row>30</xdr:row>
      <xdr:rowOff>114300</xdr:rowOff>
    </xdr:from>
    <xdr:to>
      <xdr:col>9</xdr:col>
      <xdr:colOff>203200</xdr:colOff>
      <xdr:row>44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353114-7D4A-5386-B636-3EC7C51B9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209550</xdr:colOff>
      <xdr:row>30</xdr:row>
      <xdr:rowOff>127000</xdr:rowOff>
    </xdr:from>
    <xdr:to>
      <xdr:col>13</xdr:col>
      <xdr:colOff>1314450</xdr:colOff>
      <xdr:row>44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EEF2B2-422D-A391-45CE-02C1DE1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177800</xdr:rowOff>
    </xdr:from>
    <xdr:to>
      <xdr:col>19</xdr:col>
      <xdr:colOff>419100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594F7-6800-1FA1-4FA7-E1D02C371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215900</xdr:colOff>
      <xdr:row>0</xdr:row>
      <xdr:rowOff>0</xdr:rowOff>
    </xdr:from>
    <xdr:to>
      <xdr:col>6</xdr:col>
      <xdr:colOff>863600</xdr:colOff>
      <xdr:row>10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023BF-66D7-7EF2-BE90-83ECDC1C4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63500</xdr:colOff>
      <xdr:row>11</xdr:row>
      <xdr:rowOff>38100</xdr:rowOff>
    </xdr:from>
    <xdr:to>
      <xdr:col>7</xdr:col>
      <xdr:colOff>101600</xdr:colOff>
      <xdr:row>20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676122-C1EE-F735-0FE1-925F97E87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850900</xdr:colOff>
      <xdr:row>35</xdr:row>
      <xdr:rowOff>120650</xdr:rowOff>
    </xdr:from>
    <xdr:to>
      <xdr:col>9</xdr:col>
      <xdr:colOff>520700</xdr:colOff>
      <xdr:row>52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4010D7-061C-3FA7-0328-13484EC2A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317500</xdr:colOff>
      <xdr:row>1</xdr:row>
      <xdr:rowOff>177800</xdr:rowOff>
    </xdr:from>
    <xdr:to>
      <xdr:col>19</xdr:col>
      <xdr:colOff>228600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CD0C30-7624-0242-347C-B926589C5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365906</xdr:colOff>
      <xdr:row>24</xdr:row>
      <xdr:rowOff>50801</xdr:rowOff>
    </xdr:from>
    <xdr:to>
      <xdr:col>19</xdr:col>
      <xdr:colOff>241300</xdr:colOff>
      <xdr:row>42</xdr:row>
      <xdr:rowOff>12701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6EA6B6-25D9-7D76-539A-EA0BD9E36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OW" refreshedDate="46105.100812152778" createdVersion="8" refreshedVersion="8" minRefreshableVersion="3" recordCount="340" xr:uid="{714362B4-2BDD-754A-B003-BC6396F83179}">
  <cacheSource type="worksheet">
    <worksheetSource ref="A1:N1048576" sheet="Posts"/>
  </cacheSource>
  <cacheFields count="17">
    <cacheField name="Post ID" numFmtId="0">
      <sharedItems containsBlank="1"/>
    </cacheField>
    <cacheField name="Platform" numFmtId="0">
      <sharedItems containsBlank="1" count="5">
        <s v="Twitter"/>
        <s v="YouTube"/>
        <s v="Instagram"/>
        <s v="Facebook"/>
        <m/>
      </sharedItems>
    </cacheField>
    <cacheField name="Date" numFmtId="0">
      <sharedItems containsNonDate="0" containsDate="1" containsString="0" containsBlank="1" minDate="2024-06-01T00:00:00" maxDate="2025-05-15T00:00:00" count="199">
        <d v="2024-12-23T00:00:00"/>
        <d v="2025-04-03T00:00:00"/>
        <d v="2025-05-12T00:00:00"/>
        <d v="2024-08-12T00:00:00"/>
        <d v="2024-06-26T00:00:00"/>
        <d v="2024-10-31T00:00:00"/>
        <d v="2024-06-24T00:00:00"/>
        <d v="2024-07-13T00:00:00"/>
        <d v="2024-08-30T00:00:00"/>
        <d v="2025-03-11T00:00:00"/>
        <d v="2025-02-02T00:00:00"/>
        <d v="2024-07-21T00:00:00"/>
        <d v="2024-11-18T00:00:00"/>
        <d v="2025-02-16T00:00:00"/>
        <d v="2024-10-24T00:00:00"/>
        <d v="2024-08-26T00:00:00"/>
        <d v="2025-05-05T00:00:00"/>
        <d v="2024-08-19T00:00:00"/>
        <d v="2024-06-23T00:00:00"/>
        <d v="2024-09-09T00:00:00"/>
        <d v="2025-01-04T00:00:00"/>
        <d v="2025-02-27T00:00:00"/>
        <d v="2024-11-06T00:00:00"/>
        <d v="2025-01-23T00:00:00"/>
        <d v="2025-04-10T00:00:00"/>
        <d v="2025-04-05T00:00:00"/>
        <d v="2024-09-17T00:00:00"/>
        <d v="2025-03-04T00:00:00"/>
        <d v="2025-01-31T00:00:00"/>
        <d v="2025-02-25T00:00:00"/>
        <d v="2024-12-16T00:00:00"/>
        <d v="2024-07-31T00:00:00"/>
        <d v="2024-08-21T00:00:00"/>
        <d v="2025-03-26T00:00:00"/>
        <d v="2024-11-30T00:00:00"/>
        <d v="2025-04-19T00:00:00"/>
        <d v="2025-01-06T00:00:00"/>
        <d v="2025-02-17T00:00:00"/>
        <d v="2024-11-25T00:00:00"/>
        <d v="2025-03-07T00:00:00"/>
        <d v="2025-03-08T00:00:00"/>
        <d v="2025-03-05T00:00:00"/>
        <d v="2024-12-14T00:00:00"/>
        <d v="2025-03-02T00:00:00"/>
        <d v="2024-11-01T00:00:00"/>
        <d v="2025-05-02T00:00:00"/>
        <d v="2025-02-24T00:00:00"/>
        <d v="2024-06-10T00:00:00"/>
        <d v="2024-07-03T00:00:00"/>
        <d v="2024-06-13T00:00:00"/>
        <d v="2025-01-03T00:00:00"/>
        <d v="2025-03-13T00:00:00"/>
        <d v="2024-06-17T00:00:00"/>
        <d v="2024-12-18T00:00:00"/>
        <d v="2024-10-21T00:00:00"/>
        <d v="2025-04-15T00:00:00"/>
        <d v="2024-06-22T00:00:00"/>
        <d v="2025-01-28T00:00:00"/>
        <d v="2024-09-05T00:00:00"/>
        <d v="2024-11-22T00:00:00"/>
        <d v="2024-08-17T00:00:00"/>
        <d v="2025-03-28T00:00:00"/>
        <d v="2024-07-26T00:00:00"/>
        <d v="2025-03-29T00:00:00"/>
        <d v="2024-12-08T00:00:00"/>
        <d v="2025-04-02T00:00:00"/>
        <d v="2024-09-02T00:00:00"/>
        <d v="2025-03-03T00:00:00"/>
        <d v="2024-10-18T00:00:00"/>
        <d v="2024-10-28T00:00:00"/>
        <d v="2024-08-01T00:00:00"/>
        <d v="2024-11-07T00:00:00"/>
        <d v="2024-10-09T00:00:00"/>
        <d v="2024-10-19T00:00:00"/>
        <d v="2024-07-24T00:00:00"/>
        <d v="2024-10-15T00:00:00"/>
        <d v="2024-12-09T00:00:00"/>
        <d v="2025-01-27T00:00:00"/>
        <d v="2024-06-06T00:00:00"/>
        <d v="2024-07-07T00:00:00"/>
        <d v="2025-01-10T00:00:00"/>
        <d v="2024-06-03T00:00:00"/>
        <d v="2025-03-24T00:00:00"/>
        <d v="2024-12-11T00:00:00"/>
        <d v="2024-11-08T00:00:00"/>
        <d v="2024-09-10T00:00:00"/>
        <d v="2024-08-13T00:00:00"/>
        <d v="2024-07-02T00:00:00"/>
        <d v="2025-02-10T00:00:00"/>
        <d v="2024-09-18T00:00:00"/>
        <d v="2024-06-11T00:00:00"/>
        <d v="2025-03-23T00:00:00"/>
        <d v="2024-06-14T00:00:00"/>
        <d v="2025-02-04T00:00:00"/>
        <d v="2024-06-21T00:00:00"/>
        <d v="2025-03-25T00:00:00"/>
        <d v="2024-08-08T00:00:00"/>
        <d v="2024-07-29T00:00:00"/>
        <d v="2024-11-23T00:00:00"/>
        <d v="2024-10-05T00:00:00"/>
        <d v="2024-10-02T00:00:00"/>
        <d v="2024-11-14T00:00:00"/>
        <d v="2025-05-11T00:00:00"/>
        <d v="2025-03-18T00:00:00"/>
        <d v="2024-11-04T00:00:00"/>
        <d v="2025-02-07T00:00:00"/>
        <d v="2025-04-06T00:00:00"/>
        <d v="2024-09-08T00:00:00"/>
        <d v="2024-09-29T00:00:00"/>
        <d v="2025-02-06T00:00:00"/>
        <d v="2025-04-24T00:00:00"/>
        <d v="2024-11-28T00:00:00"/>
        <d v="2024-07-11T00:00:00"/>
        <d v="2024-10-29T00:00:00"/>
        <d v="2024-07-15T00:00:00"/>
        <d v="2024-08-31T00:00:00"/>
        <d v="2024-06-05T00:00:00"/>
        <d v="2024-06-16T00:00:00"/>
        <d v="2024-08-22T00:00:00"/>
        <d v="2025-04-22T00:00:00"/>
        <d v="2025-01-01T00:00:00"/>
        <d v="2024-12-21T00:00:00"/>
        <d v="2024-10-22T00:00:00"/>
        <d v="2024-07-23T00:00:00"/>
        <d v="2024-08-11T00:00:00"/>
        <d v="2024-08-24T00:00:00"/>
        <d v="2025-02-19T00:00:00"/>
        <d v="2025-04-01T00:00:00"/>
        <d v="2025-04-08T00:00:00"/>
        <d v="2024-11-12T00:00:00"/>
        <d v="2024-12-03T00:00:00"/>
        <d v="2025-04-28T00:00:00"/>
        <d v="2024-12-31T00:00:00"/>
        <d v="2024-08-14T00:00:00"/>
        <d v="2024-12-05T00:00:00"/>
        <d v="2025-01-17T00:00:00"/>
        <d v="2024-06-20T00:00:00"/>
        <d v="2024-07-10T00:00:00"/>
        <d v="2025-03-21T00:00:00"/>
        <d v="2024-12-17T00:00:00"/>
        <d v="2024-07-28T00:00:00"/>
        <d v="2025-01-11T00:00:00"/>
        <d v="2024-12-22T00:00:00"/>
        <d v="2024-10-04T00:00:00"/>
        <d v="2024-11-29T00:00:00"/>
        <d v="2024-09-11T00:00:00"/>
        <d v="2024-08-15T00:00:00"/>
        <d v="2024-12-19T00:00:00"/>
        <d v="2024-09-14T00:00:00"/>
        <d v="2025-04-07T00:00:00"/>
        <d v="2025-01-15T00:00:00"/>
        <d v="2024-06-02T00:00:00"/>
        <d v="2024-11-21T00:00:00"/>
        <d v="2024-12-29T00:00:00"/>
        <d v="2025-03-19T00:00:00"/>
        <d v="2024-07-18T00:00:00"/>
        <d v="2025-05-01T00:00:00"/>
        <d v="2025-05-06T00:00:00"/>
        <d v="2024-10-08T00:00:00"/>
        <d v="2025-05-13T00:00:00"/>
        <d v="2024-08-07T00:00:00"/>
        <d v="2024-06-12T00:00:00"/>
        <d v="2024-07-01T00:00:00"/>
        <d v="2025-04-29T00:00:00"/>
        <d v="2024-06-01T00:00:00"/>
        <d v="2024-07-16T00:00:00"/>
        <d v="2025-01-18T00:00:00"/>
        <d v="2025-03-06T00:00:00"/>
        <d v="2024-10-25T00:00:00"/>
        <d v="2025-01-12T00:00:00"/>
        <d v="2024-10-11T00:00:00"/>
        <d v="2024-08-27T00:00:00"/>
        <d v="2025-03-27T00:00:00"/>
        <d v="2024-08-03T00:00:00"/>
        <d v="2025-01-14T00:00:00"/>
        <d v="2024-08-05T00:00:00"/>
        <d v="2025-02-12T00:00:00"/>
        <d v="2024-10-27T00:00:00"/>
        <d v="2024-08-20T00:00:00"/>
        <d v="2025-01-30T00:00:00"/>
        <d v="2025-02-20T00:00:00"/>
        <d v="2025-04-13T00:00:00"/>
        <d v="2024-11-05T00:00:00"/>
        <d v="2024-10-17T00:00:00"/>
        <d v="2024-10-12T00:00:00"/>
        <d v="2024-06-07T00:00:00"/>
        <d v="2024-11-26T00:00:00"/>
        <d v="2025-03-22T00:00:00"/>
        <d v="2024-10-03T00:00:00"/>
        <d v="2025-05-09T00:00:00"/>
        <d v="2024-09-25T00:00:00"/>
        <d v="2025-04-17T00:00:00"/>
        <d v="2024-12-20T00:00:00"/>
        <d v="2024-11-17T00:00:00"/>
        <d v="2025-05-14T00:00:00"/>
        <d v="2024-06-19T00:00:00"/>
        <d v="2025-02-11T00:00:00"/>
        <d v="2024-12-24T00:00:00"/>
        <m/>
      </sharedItems>
      <fieldGroup par="16"/>
    </cacheField>
    <cacheField name="Content Type" numFmtId="0">
      <sharedItems containsBlank="1" count="7">
        <s v="Reel"/>
        <s v="Text"/>
        <s v="Story"/>
        <s v="Carousel"/>
        <s v="Image"/>
        <s v="Video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" numFmtId="0">
      <sharedItems containsBlank="1" count="7">
        <s v="#FutureOfDriving"/>
        <s v="#AnytimeIsTeslaTime"/>
        <s v="#TeslaCoInnovation"/>
        <s v="#BetterWithTesla"/>
        <s v="#EVRevolution"/>
        <s v="#SmoothLikeNitroTesla"/>
        <m/>
      </sharedItems>
    </cacheField>
    <cacheField name="Campaign_Name" numFmtId="0">
      <sharedItems containsBlank="1" count="6">
        <s v="Cyber Truck Launch"/>
        <s v="Model Y Campaign"/>
        <s v="FSD Update"/>
        <s v="Sustainability Drive"/>
        <s v="N/A"/>
        <m/>
      </sharedItems>
    </cacheField>
    <cacheField name="Engagement Rate" numFmtId="0">
      <sharedItems containsString="0" containsBlank="1" containsNumber="1" minValue="5.2551586421122697E-2" maxValue="1.8129251700680271"/>
    </cacheField>
    <cacheField name="Months (Date)" numFmtId="0" databaseField="0">
      <fieldGroup base="2">
        <rangePr groupBy="months" startDate="2024-06-01T00:00:00" endDate="2025-05-15T00:00:00"/>
        <groupItems count="14">
          <s v="&lt;01/06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5/25"/>
        </groupItems>
      </fieldGroup>
    </cacheField>
    <cacheField name="Quarters (Date)" numFmtId="0" databaseField="0">
      <fieldGroup base="2">
        <rangePr groupBy="quarters" startDate="2024-06-01T00:00:00" endDate="2025-05-15T00:00:00"/>
        <groupItems count="6">
          <s v="&lt;01/06/24"/>
          <s v="Qtr1"/>
          <s v="Qtr2"/>
          <s v="Qtr3"/>
          <s v="Qtr4"/>
          <s v="&gt;15/05/25"/>
        </groupItems>
      </fieldGroup>
    </cacheField>
    <cacheField name="Years (Date)" numFmtId="0" databaseField="0">
      <fieldGroup base="2">
        <rangePr groupBy="years" startDate="2024-06-01T00:00:00" endDate="2025-05-15T00:00:00"/>
        <groupItems count="4">
          <s v="&lt;01/06/24"/>
          <s v="2024"/>
          <s v="2025"/>
          <s v="&gt;15/05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OW" refreshedDate="46105.79745208333" createdVersion="8" refreshedVersion="8" minRefreshableVersion="3" recordCount="1000" xr:uid="{7A766286-8314-8E45-A9C3-9A6391666F5F}">
  <cacheSource type="worksheet">
    <worksheetSource ref="A1:H1048576" sheet="Engagement Summary"/>
  </cacheSource>
  <cacheFields count="11"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/>
    </cacheField>
    <cacheField name="Unfollows" numFmtId="0">
      <sharedItems containsString="0" containsBlank="1" containsNumber="1" containsInteger="1" minValue="20" maxValue="498"/>
    </cacheField>
    <cacheField name="Total_Followers" numFmtId="0">
      <sharedItems containsString="0" containsBlank="1" containsNumber="1" containsInteger="1" minValue="11435" maxValue="496982"/>
    </cacheField>
    <cacheField name="Engagement_Rate" numFmtId="0">
      <sharedItems containsString="0" containsBlank="1" containsNumber="1" minValue="1.53" maxValue="9.48" count="173">
        <n v="8.06"/>
        <n v="4.9800000000000004"/>
        <n v="8.31"/>
        <n v="4.1100000000000003"/>
        <n v="9.0500000000000007"/>
        <n v="2.37"/>
        <n v="4.01"/>
        <n v="3.16"/>
        <n v="2.46"/>
        <n v="8.11"/>
        <n v="8.19"/>
        <n v="3.49"/>
        <n v="6.92"/>
        <n v="9.1199999999999992"/>
        <n v="3.5"/>
        <n v="2.62"/>
        <n v="9.36"/>
        <n v="4.4800000000000004"/>
        <n v="6.19"/>
        <n v="8.7200000000000006"/>
        <n v="8.74"/>
        <n v="1.91"/>
        <n v="4.66"/>
        <n v="2.88"/>
        <n v="3.74"/>
        <n v="6.44"/>
        <n v="8.56"/>
        <n v="4.5599999999999996"/>
        <n v="7.88"/>
        <n v="7.86"/>
        <n v="5.34"/>
        <n v="5.52"/>
        <n v="4.05"/>
        <n v="7.73"/>
        <n v="4.3600000000000003"/>
        <n v="3.48"/>
        <n v="7.83"/>
        <n v="6.11"/>
        <n v="9.43"/>
        <n v="4.04"/>
        <n v="6.23"/>
        <n v="6.01"/>
        <n v="8.5500000000000007"/>
        <n v="5.42"/>
        <n v="3.25"/>
        <n v="8.84"/>
        <n v="7.24"/>
        <n v="5.71"/>
        <n v="9.0399999999999991"/>
        <n v="3.91"/>
        <n v="7.16"/>
        <n v="6.41"/>
        <n v="8.02"/>
        <n v="3.86"/>
        <n v="9.09"/>
        <n v="1.76"/>
        <n v="9.24"/>
        <n v="8.99"/>
        <n v="3.4"/>
        <n v="9.1999999999999993"/>
        <n v="8.59"/>
        <n v="2.36"/>
        <n v="7.36"/>
        <n v="8.1300000000000008"/>
        <n v="3.3"/>
        <n v="1.77"/>
        <n v="2.09"/>
        <n v="6.25"/>
        <n v="1.75"/>
        <n v="4.97"/>
        <n v="9.3000000000000007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6999999999999993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1999999999999993"/>
        <n v="2.2200000000000002"/>
        <n v="8.33"/>
        <n v="5.61"/>
        <n v="2.56"/>
        <n v="3.29"/>
        <n v="4.51"/>
        <n v="5.23"/>
        <n v="9.23"/>
        <n v="2.0099999999999998"/>
        <n v="3.72"/>
        <n v="3.89"/>
        <n v="6.95"/>
        <n v="9.48"/>
        <n v="4.6100000000000003"/>
        <n v="8.0299999999999994"/>
        <n v="6.99"/>
        <n v="9.0299999999999994"/>
        <n v="2.86"/>
        <n v="3.85"/>
        <n v="7.3"/>
        <n v="9.08"/>
        <n v="4.34"/>
        <n v="7.8"/>
        <n v="6.58"/>
        <n v="8.6199999999999992"/>
        <n v="4.55"/>
        <n v="9.4"/>
        <n v="7.23"/>
        <n v="9.39"/>
        <n v="5.12"/>
        <n v="4.9400000000000004"/>
        <n v="1.8"/>
        <n v="8.64"/>
        <n v="8.52"/>
        <n v="5.53"/>
        <n v="1.87"/>
        <n v="6.27"/>
        <n v="9.4600000000000009"/>
        <n v="7.5"/>
        <n v="4.7300000000000004"/>
        <n v="3.19"/>
        <n v="2.4900000000000002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"/>
        <n v="7.57"/>
        <n v="6.81"/>
        <m/>
      </sharedItems>
    </cacheField>
    <cacheField name="Ad_Spend" numFmtId="0">
      <sharedItems containsString="0" containsBlank="1" containsNumber="1" containsInteger="1" minValue="1083" maxValue="49772" count="200">
        <n v="5904"/>
        <n v="9566"/>
        <n v="26752"/>
        <n v="30671"/>
        <n v="9920"/>
        <n v="7924"/>
        <n v="8912"/>
        <n v="21205"/>
        <n v="11329"/>
        <n v="46670"/>
        <n v="22482"/>
        <n v="24313"/>
        <n v="18050"/>
        <n v="30635"/>
        <n v="31280"/>
        <n v="1783"/>
        <n v="42307"/>
        <n v="5914"/>
        <n v="30060"/>
        <n v="22728"/>
        <n v="38610"/>
        <n v="2932"/>
        <n v="15071"/>
        <n v="10740"/>
        <n v="43420"/>
        <n v="32393"/>
        <n v="28474"/>
        <n v="17328"/>
        <n v="26067"/>
        <n v="32763"/>
        <n v="26452"/>
        <n v="15353"/>
        <n v="4839"/>
        <n v="39272"/>
        <n v="16804"/>
        <n v="49303"/>
        <n v="26455"/>
        <n v="12384"/>
        <n v="49372"/>
        <n v="47101"/>
        <n v="37903"/>
        <n v="33258"/>
        <n v="6915"/>
        <n v="35501"/>
        <n v="14203"/>
        <n v="22206"/>
        <n v="10283"/>
        <n v="24913"/>
        <n v="26925"/>
        <n v="9942"/>
        <n v="32929"/>
        <n v="37829"/>
        <n v="24384"/>
        <n v="25797"/>
        <n v="12646"/>
        <n v="26663"/>
        <n v="40478"/>
        <n v="15476"/>
        <n v="10217"/>
        <n v="21939"/>
        <n v="47462"/>
        <n v="30270"/>
        <n v="5442"/>
        <n v="1083"/>
        <n v="11901"/>
        <n v="24018"/>
        <n v="38883"/>
        <n v="30575"/>
        <n v="2315"/>
        <n v="12148"/>
        <n v="36851"/>
        <n v="41215"/>
        <n v="43836"/>
        <n v="4509"/>
        <n v="27822"/>
        <n v="36397"/>
        <n v="7285"/>
        <n v="33174"/>
        <n v="6742"/>
        <n v="32478"/>
        <n v="42824"/>
        <n v="21208"/>
        <n v="44321"/>
        <n v="13116"/>
        <n v="30214"/>
        <n v="15827"/>
        <n v="46643"/>
        <n v="36484"/>
        <n v="4996"/>
        <n v="36095"/>
        <n v="16443"/>
        <n v="47812"/>
        <n v="38452"/>
        <n v="30428"/>
        <n v="9269"/>
        <n v="29533"/>
        <n v="39997"/>
        <n v="5391"/>
        <n v="22373"/>
        <n v="1810"/>
        <n v="28498"/>
        <n v="39530"/>
        <n v="37876"/>
        <n v="36103"/>
        <n v="26103"/>
        <n v="3455"/>
        <n v="40888"/>
        <n v="22724"/>
        <n v="18601"/>
        <n v="20861"/>
        <n v="46625"/>
        <n v="20692"/>
        <n v="18656"/>
        <n v="13316"/>
        <n v="49558"/>
        <n v="4683"/>
        <n v="47502"/>
        <n v="35359"/>
        <n v="14154"/>
        <n v="4313"/>
        <n v="25140"/>
        <n v="9118"/>
        <n v="39931"/>
        <n v="37132"/>
        <n v="17951"/>
        <n v="2798"/>
        <n v="15045"/>
        <n v="14548"/>
        <n v="45708"/>
        <n v="12350"/>
        <n v="40868"/>
        <n v="43122"/>
        <n v="23853"/>
        <n v="45380"/>
        <n v="7705"/>
        <n v="25525"/>
        <n v="20560"/>
        <n v="19119"/>
        <n v="43999"/>
        <n v="10825"/>
        <n v="40323"/>
        <n v="48270"/>
        <n v="18001"/>
        <n v="3314"/>
        <n v="23489"/>
        <n v="42832"/>
        <n v="24494"/>
        <n v="44097"/>
        <n v="31853"/>
        <n v="37636"/>
        <n v="22996"/>
        <n v="49772"/>
        <n v="22713"/>
        <n v="8718"/>
        <n v="39031"/>
        <n v="33799"/>
        <n v="20553"/>
        <n v="10002"/>
        <n v="30987"/>
        <n v="6296"/>
        <n v="21539"/>
        <n v="14722"/>
        <n v="11383"/>
        <n v="9480"/>
        <n v="29116"/>
        <n v="14068"/>
        <n v="35801"/>
        <n v="49077"/>
        <n v="21453"/>
        <n v="21061"/>
        <n v="20059"/>
        <n v="23140"/>
        <n v="23461"/>
        <n v="11805"/>
        <n v="15969"/>
        <n v="2436"/>
        <n v="47603"/>
        <n v="42964"/>
        <n v="39923"/>
        <n v="2293"/>
        <n v="25920"/>
        <n v="11035"/>
        <n v="20733"/>
        <n v="18693"/>
        <n v="7875"/>
        <n v="8471"/>
        <n v="14090"/>
        <n v="14216"/>
        <n v="3582"/>
        <n v="32500"/>
        <n v="6832"/>
        <n v="33381"/>
        <n v="48419"/>
        <n v="16149"/>
        <n v="7541"/>
        <n v="20042"/>
        <n v="49400"/>
        <n v="4007"/>
        <n v="12174"/>
        <m/>
      </sharedItems>
    </cacheField>
    <cacheField name="Week_Start_Date" numFmtId="0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  <fieldGroup par="10"/>
    </cacheField>
    <cacheField name="Follower Growth" numFmtId="0">
      <sharedItems containsString="0" containsBlank="1" containsNumber="1" containsInteger="1" minValue="-337" maxValue="1881" count="195">
        <n v="1047"/>
        <n v="1002"/>
        <n v="415"/>
        <n v="1090"/>
        <n v="517"/>
        <n v="1283"/>
        <n v="186"/>
        <n v="994"/>
        <n v="893"/>
        <n v="1382"/>
        <n v="1295"/>
        <n v="337"/>
        <n v="629"/>
        <n v="1670"/>
        <n v="835"/>
        <n v="-123"/>
        <n v="-219"/>
        <n v="64"/>
        <n v="1357"/>
        <n v="91"/>
        <n v="1672"/>
        <n v="309"/>
        <n v="547"/>
        <n v="514"/>
        <n v="1845"/>
        <n v="-164"/>
        <n v="429"/>
        <n v="160"/>
        <n v="159"/>
        <n v="961"/>
        <n v="1316"/>
        <n v="317"/>
        <n v="541"/>
        <n v="-318"/>
        <n v="1495"/>
        <n v="475"/>
        <n v="352"/>
        <n v="-197"/>
        <n v="328"/>
        <n v="319"/>
        <n v="1325"/>
        <n v="1334"/>
        <n v="37"/>
        <n v="1032"/>
        <n v="76"/>
        <n v="1058"/>
        <n v="1665"/>
        <n v="190"/>
        <n v="1609"/>
        <n v="1229"/>
        <n v="28"/>
        <n v="1247"/>
        <n v="1045"/>
        <n v="197"/>
        <n v="333"/>
        <n v="1572"/>
        <n v="1428"/>
        <n v="260"/>
        <n v="1100"/>
        <n v="377"/>
        <n v="98"/>
        <n v="1125"/>
        <n v="-32"/>
        <n v="666"/>
        <n v="-19"/>
        <n v="1680"/>
        <n v="1006"/>
        <n v="1025"/>
        <n v="-179"/>
        <n v="599"/>
        <n v="1706"/>
        <n v="1872"/>
        <n v="1662"/>
        <n v="107"/>
        <n v="118"/>
        <n v="1224"/>
        <n v="285"/>
        <n v="-20"/>
        <n v="367"/>
        <n v="262"/>
        <n v="439"/>
        <n v="636"/>
        <n v="1484"/>
        <n v="576"/>
        <n v="386"/>
        <n v="1657"/>
        <n v="1397"/>
        <n v="540"/>
        <n v="1603"/>
        <n v="1044"/>
        <n v="902"/>
        <n v="-106"/>
        <n v="1150"/>
        <n v="349"/>
        <n v="-49"/>
        <n v="72"/>
        <n v="445"/>
        <n v="60"/>
        <n v="1693"/>
        <n v="1332"/>
        <n v="885"/>
        <n v="1625"/>
        <n v="1173"/>
        <n v="291"/>
        <n v="1119"/>
        <n v="1373"/>
        <n v="1727"/>
        <n v="573"/>
        <n v="1432"/>
        <n v="1377"/>
        <n v="1359"/>
        <n v="876"/>
        <n v="684"/>
        <n v="730"/>
        <n v="911"/>
        <n v="1589"/>
        <n v="1765"/>
        <n v="1776"/>
        <n v="1529"/>
        <n v="1460"/>
        <n v="903"/>
        <n v="620"/>
        <n v="1188"/>
        <n v="846"/>
        <n v="1722"/>
        <n v="298"/>
        <n v="-144"/>
        <n v="901"/>
        <n v="427"/>
        <n v="891"/>
        <n v="724"/>
        <n v="-166"/>
        <n v="898"/>
        <n v="1426"/>
        <n v="1225"/>
        <n v="1080"/>
        <n v="748"/>
        <n v="569"/>
        <n v="-203"/>
        <n v="1723"/>
        <n v="912"/>
        <n v="1202"/>
        <n v="1444"/>
        <n v="965"/>
        <n v="1590"/>
        <n v="-37"/>
        <n v="1175"/>
        <n v="1375"/>
        <n v="1707"/>
        <n v="708"/>
        <n v="1016"/>
        <n v="1315"/>
        <n v="-119"/>
        <n v="899"/>
        <n v="315"/>
        <n v="212"/>
        <n v="908"/>
        <n v="1350"/>
        <n v="1242"/>
        <n v="680"/>
        <n v="1116"/>
        <n v="861"/>
        <n v="1385"/>
        <n v="461"/>
        <n v="474"/>
        <n v="292"/>
        <n v="389"/>
        <n v="641"/>
        <n v="1676"/>
        <n v="1467"/>
        <n v="167"/>
        <n v="1029"/>
        <n v="1007"/>
        <n v="209"/>
        <n v="-160"/>
        <n v="-175"/>
        <n v="53"/>
        <n v="145"/>
        <n v="603"/>
        <n v="759"/>
        <n v="1633"/>
        <n v="1539"/>
        <n v="453"/>
        <n v="948"/>
        <n v="637"/>
        <n v="1881"/>
        <n v="339"/>
        <n v="1510"/>
        <n v="864"/>
        <n v="1656"/>
        <n v="407"/>
        <n v="269"/>
        <n v="-337"/>
        <n v="0"/>
        <m/>
      </sharedItems>
    </cacheField>
    <cacheField name="Months (Week_Start_Date)" numFmtId="0" databaseField="0">
      <fieldGroup base="6">
        <rangePr groupBy="months" startDate="2024-06-03T00:00:00" endDate="2025-05-13T00:00:00"/>
        <groupItems count="14">
          <s v="&lt;03/06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5/25"/>
        </groupItems>
      </fieldGroup>
    </cacheField>
    <cacheField name="Quarters (Week_Start_Date)" numFmtId="0" databaseField="0">
      <fieldGroup base="6">
        <rangePr groupBy="quarters" startDate="2024-06-03T00:00:00" endDate="2025-05-13T00:00:00"/>
        <groupItems count="6">
          <s v="&lt;03/06/24"/>
          <s v="Qtr1"/>
          <s v="Qtr2"/>
          <s v="Qtr3"/>
          <s v="Qtr4"/>
          <s v="&gt;13/05/25"/>
        </groupItems>
      </fieldGroup>
    </cacheField>
    <cacheField name="Years (Week_Start_Date)" numFmtId="0" databaseField="0">
      <fieldGroup base="6">
        <rangePr groupBy="years" startDate="2024-06-03T00:00:00" endDate="2025-05-13T00:00:00"/>
        <groupItems count="4">
          <s v="&lt;03/06/24"/>
          <s v="2024"/>
          <s v="2025"/>
          <s v="&gt;13/05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P001"/>
    <x v="0"/>
    <x v="0"/>
    <x v="0"/>
    <s v="Check out our latest reel on twitter!"/>
    <n v="1461"/>
    <n v="184"/>
    <n v="344"/>
    <n v="21915"/>
    <n v="21675"/>
    <n v="15"/>
    <x v="0"/>
    <x v="0"/>
    <n v="9.0759753593429152E-2"/>
  </r>
  <r>
    <s v="P001"/>
    <x v="0"/>
    <x v="0"/>
    <x v="0"/>
    <s v="Check out our latest reel on twitter!"/>
    <n v="1461"/>
    <n v="184"/>
    <n v="344"/>
    <n v="21915"/>
    <n v="21675"/>
    <n v="15"/>
    <x v="1"/>
    <x v="0"/>
    <n v="9.0759753593429152E-2"/>
  </r>
  <r>
    <s v="P002"/>
    <x v="0"/>
    <x v="1"/>
    <x v="1"/>
    <s v="Check out our latest text on twitter!"/>
    <n v="4054"/>
    <n v="389"/>
    <n v="493"/>
    <n v="64864"/>
    <n v="64383"/>
    <n v="117"/>
    <x v="2"/>
    <x v="1"/>
    <n v="7.6097681302417369E-2"/>
  </r>
  <r>
    <s v="P002"/>
    <x v="0"/>
    <x v="1"/>
    <x v="1"/>
    <s v="Check out our latest text on twitter!"/>
    <n v="4054"/>
    <n v="389"/>
    <n v="493"/>
    <n v="64864"/>
    <n v="64383"/>
    <n v="117"/>
    <x v="3"/>
    <x v="1"/>
    <n v="7.6097681302417369E-2"/>
  </r>
  <r>
    <s v="P003"/>
    <x v="1"/>
    <x v="2"/>
    <x v="0"/>
    <s v="Check out our latest reel on youtube!"/>
    <n v="2795"/>
    <n v="105"/>
    <n v="49"/>
    <n v="53105"/>
    <n v="52307"/>
    <n v="204"/>
    <x v="2"/>
    <x v="2"/>
    <n v="5.5531494209584788E-2"/>
  </r>
  <r>
    <s v="P004"/>
    <x v="2"/>
    <x v="3"/>
    <x v="2"/>
    <s v="Check out our latest story on instagram!"/>
    <n v="2404"/>
    <n v="363"/>
    <n v="138"/>
    <n v="19232"/>
    <n v="18636"/>
    <n v="128"/>
    <x v="4"/>
    <x v="3"/>
    <n v="0.15105033277870217"/>
  </r>
  <r>
    <s v="P005"/>
    <x v="1"/>
    <x v="4"/>
    <x v="0"/>
    <s v="Check out our latest reel on youtube!"/>
    <n v="3557"/>
    <n v="687"/>
    <n v="424"/>
    <n v="71140"/>
    <n v="70701"/>
    <n v="224"/>
    <x v="4"/>
    <x v="0"/>
    <n v="6.5617093055946027E-2"/>
  </r>
  <r>
    <s v="P005"/>
    <x v="1"/>
    <x v="4"/>
    <x v="0"/>
    <s v="Check out our latest reel on youtube!"/>
    <n v="3557"/>
    <n v="687"/>
    <n v="424"/>
    <n v="71140"/>
    <n v="70701"/>
    <n v="224"/>
    <x v="2"/>
    <x v="0"/>
    <n v="6.5617093055946027E-2"/>
  </r>
  <r>
    <s v="P006"/>
    <x v="3"/>
    <x v="5"/>
    <x v="3"/>
    <s v="Check out our latest carousel on facebook!"/>
    <n v="2945"/>
    <n v="930"/>
    <n v="355"/>
    <n v="23560"/>
    <n v="23275"/>
    <n v="256"/>
    <x v="2"/>
    <x v="1"/>
    <n v="0.17954159592529711"/>
  </r>
  <r>
    <s v="P007"/>
    <x v="0"/>
    <x v="6"/>
    <x v="3"/>
    <s v="Check out our latest carousel on twitter!"/>
    <n v="3860"/>
    <n v="201"/>
    <n v="279"/>
    <n v="61760"/>
    <n v="61660"/>
    <n v="235"/>
    <x v="2"/>
    <x v="1"/>
    <n v="7.0272020725388601E-2"/>
  </r>
  <r>
    <s v="P008"/>
    <x v="1"/>
    <x v="7"/>
    <x v="4"/>
    <s v="Check out our latest image on youtube!"/>
    <n v="3929"/>
    <n v="262"/>
    <n v="278"/>
    <n v="43219"/>
    <n v="42841"/>
    <n v="39"/>
    <x v="4"/>
    <x v="3"/>
    <n v="0.10340359564080613"/>
  </r>
  <r>
    <s v="P009"/>
    <x v="3"/>
    <x v="8"/>
    <x v="1"/>
    <s v="Check out our latest text on facebook!"/>
    <n v="3784"/>
    <n v="808"/>
    <n v="404"/>
    <n v="56760"/>
    <n v="56343"/>
    <n v="131"/>
    <x v="2"/>
    <x v="1"/>
    <n v="8.8019732205778717E-2"/>
  </r>
  <r>
    <s v="P010"/>
    <x v="3"/>
    <x v="9"/>
    <x v="4"/>
    <s v="Check out our latest image on facebook!"/>
    <n v="4241"/>
    <n v="902"/>
    <n v="47"/>
    <n v="72097"/>
    <n v="71598"/>
    <n v="167"/>
    <x v="2"/>
    <x v="1"/>
    <n v="7.198635172059864E-2"/>
  </r>
  <r>
    <s v="P011"/>
    <x v="2"/>
    <x v="10"/>
    <x v="2"/>
    <s v="Check out our latest story on instagram!"/>
    <n v="1792"/>
    <n v="614"/>
    <n v="497"/>
    <n v="25088"/>
    <n v="24675"/>
    <n v="65"/>
    <x v="0"/>
    <x v="3"/>
    <n v="0.11571269132653061"/>
  </r>
  <r>
    <s v="P012"/>
    <x v="3"/>
    <x v="11"/>
    <x v="0"/>
    <s v="Check out our latest reel on facebook!"/>
    <n v="1946"/>
    <n v="686"/>
    <n v="377"/>
    <n v="23352"/>
    <n v="22982"/>
    <n v="213"/>
    <x v="0"/>
    <x v="2"/>
    <n v="0.12885405960945528"/>
  </r>
  <r>
    <s v="P013"/>
    <x v="1"/>
    <x v="12"/>
    <x v="3"/>
    <s v="Check out our latest carousel on youtube!"/>
    <n v="1171"/>
    <n v="286"/>
    <n v="231"/>
    <n v="22249"/>
    <n v="21282"/>
    <n v="114"/>
    <x v="4"/>
    <x v="0"/>
    <n v="7.5868578363072495E-2"/>
  </r>
  <r>
    <s v="P014"/>
    <x v="3"/>
    <x v="13"/>
    <x v="2"/>
    <s v="Check out our latest story on facebook!"/>
    <n v="4242"/>
    <n v="555"/>
    <n v="131"/>
    <n v="33936"/>
    <n v="33802"/>
    <n v="265"/>
    <x v="0"/>
    <x v="4"/>
    <n v="0.14521452145214522"/>
  </r>
  <r>
    <s v="P015"/>
    <x v="3"/>
    <x v="14"/>
    <x v="5"/>
    <s v="Check out our latest video on facebook!"/>
    <n v="3888"/>
    <n v="604"/>
    <n v="128"/>
    <n v="77760"/>
    <n v="77167"/>
    <n v="20"/>
    <x v="0"/>
    <x v="0"/>
    <n v="5.941358024691358E-2"/>
  </r>
  <r>
    <s v="P016"/>
    <x v="3"/>
    <x v="15"/>
    <x v="1"/>
    <s v="Check out our latest text on facebook!"/>
    <n v="3452"/>
    <n v="377"/>
    <n v="360"/>
    <n v="55232"/>
    <n v="55075"/>
    <n v="87"/>
    <x v="0"/>
    <x v="2"/>
    <n v="7.5843713789107758E-2"/>
  </r>
  <r>
    <s v="P017"/>
    <x v="3"/>
    <x v="16"/>
    <x v="1"/>
    <s v="Check out our latest text on facebook!"/>
    <n v="4441"/>
    <n v="511"/>
    <n v="70"/>
    <n v="53292"/>
    <n v="53082"/>
    <n v="159"/>
    <x v="4"/>
    <x v="3"/>
    <n v="9.4235532537716729E-2"/>
  </r>
  <r>
    <s v="P018"/>
    <x v="2"/>
    <x v="17"/>
    <x v="0"/>
    <s v="Check out our latest reel on instagram!"/>
    <n v="3000"/>
    <n v="382"/>
    <n v="325"/>
    <n v="36000"/>
    <n v="35819"/>
    <n v="19"/>
    <x v="0"/>
    <x v="0"/>
    <n v="0.10297222222222223"/>
  </r>
  <r>
    <s v="P019"/>
    <x v="2"/>
    <x v="18"/>
    <x v="5"/>
    <s v="Check out our latest video on instagram!"/>
    <n v="1071"/>
    <n v="519"/>
    <n v="22"/>
    <n v="16065"/>
    <n v="15865"/>
    <n v="103"/>
    <x v="2"/>
    <x v="3"/>
    <n v="0.10034235916588857"/>
  </r>
  <r>
    <s v="P020"/>
    <x v="2"/>
    <x v="19"/>
    <x v="3"/>
    <s v="Check out our latest carousel on instagram!"/>
    <n v="4054"/>
    <n v="488"/>
    <n v="373"/>
    <n v="77026"/>
    <n v="76881"/>
    <n v="25"/>
    <x v="2"/>
    <x v="0"/>
    <n v="6.3809622724794221E-2"/>
  </r>
  <r>
    <s v="P021"/>
    <x v="2"/>
    <x v="20"/>
    <x v="0"/>
    <s v="Check out our latest reel on instagram!"/>
    <n v="4838"/>
    <n v="640"/>
    <n v="128"/>
    <n v="72570"/>
    <n v="72396"/>
    <n v="83"/>
    <x v="0"/>
    <x v="3"/>
    <n v="7.7249552156538517E-2"/>
  </r>
  <r>
    <s v="P022"/>
    <x v="3"/>
    <x v="21"/>
    <x v="1"/>
    <s v="Check out our latest text on facebook!"/>
    <n v="1570"/>
    <n v="187"/>
    <n v="260"/>
    <n v="25120"/>
    <n v="24613"/>
    <n v="133"/>
    <x v="2"/>
    <x v="3"/>
    <n v="8.0294585987261149E-2"/>
  </r>
  <r>
    <s v="P023"/>
    <x v="3"/>
    <x v="22"/>
    <x v="5"/>
    <s v="Check out our latest video on facebook!"/>
    <n v="1606"/>
    <n v="547"/>
    <n v="316"/>
    <n v="32120"/>
    <n v="31736"/>
    <n v="225"/>
    <x v="2"/>
    <x v="1"/>
    <n v="7.6867995018679955E-2"/>
  </r>
  <r>
    <s v="P023"/>
    <x v="3"/>
    <x v="22"/>
    <x v="5"/>
    <s v="Check out our latest video on facebook!"/>
    <n v="1606"/>
    <n v="547"/>
    <n v="316"/>
    <n v="32120"/>
    <n v="31736"/>
    <n v="225"/>
    <x v="1"/>
    <x v="1"/>
    <n v="7.6867995018679955E-2"/>
  </r>
  <r>
    <s v="P024"/>
    <x v="3"/>
    <x v="23"/>
    <x v="5"/>
    <s v="Check out our latest video on facebook!"/>
    <n v="3961"/>
    <n v="761"/>
    <n v="131"/>
    <n v="67337"/>
    <n v="66615"/>
    <n v="161"/>
    <x v="0"/>
    <x v="2"/>
    <n v="7.2070332803659209E-2"/>
  </r>
  <r>
    <s v="P025"/>
    <x v="0"/>
    <x v="24"/>
    <x v="3"/>
    <s v="Check out our latest carousel on twitter!"/>
    <n v="3128"/>
    <n v="211"/>
    <n v="197"/>
    <n v="59432"/>
    <n v="59182"/>
    <n v="238"/>
    <x v="4"/>
    <x v="4"/>
    <n v="5.9496567505720827E-2"/>
  </r>
  <r>
    <s v="P026"/>
    <x v="1"/>
    <x v="25"/>
    <x v="0"/>
    <s v="Check out our latest reel on youtube!"/>
    <n v="3009"/>
    <n v="413"/>
    <n v="358"/>
    <n v="42126"/>
    <n v="41309"/>
    <n v="211"/>
    <x v="0"/>
    <x v="1"/>
    <n v="8.9730807577268201E-2"/>
  </r>
  <r>
    <s v="P027"/>
    <x v="1"/>
    <x v="26"/>
    <x v="1"/>
    <s v="Check out our latest text on youtube!"/>
    <n v="2076"/>
    <n v="195"/>
    <n v="104"/>
    <n v="33216"/>
    <n v="32244"/>
    <n v="51"/>
    <x v="0"/>
    <x v="3"/>
    <n v="7.1501685934489398E-2"/>
  </r>
  <r>
    <s v="P028"/>
    <x v="2"/>
    <x v="27"/>
    <x v="5"/>
    <s v="Check out our latest video on instagram!"/>
    <n v="432"/>
    <n v="624"/>
    <n v="123"/>
    <n v="6912"/>
    <n v="6259"/>
    <n v="79"/>
    <x v="0"/>
    <x v="3"/>
    <n v="0.17057291666666666"/>
  </r>
  <r>
    <s v="P029"/>
    <x v="2"/>
    <x v="28"/>
    <x v="3"/>
    <s v="Check out our latest carousel on instagram!"/>
    <n v="2566"/>
    <n v="118"/>
    <n v="37"/>
    <n v="12830"/>
    <n v="12264"/>
    <n v="221"/>
    <x v="0"/>
    <x v="2"/>
    <n v="0.21208106001558846"/>
  </r>
  <r>
    <s v="P030"/>
    <x v="2"/>
    <x v="29"/>
    <x v="5"/>
    <s v="Check out our latest video on instagram!"/>
    <n v="3095"/>
    <n v="39"/>
    <n v="78"/>
    <n v="55710"/>
    <n v="54808"/>
    <n v="93"/>
    <x v="4"/>
    <x v="4"/>
    <n v="5.7655717106444085E-2"/>
  </r>
  <r>
    <s v="P031"/>
    <x v="2"/>
    <x v="30"/>
    <x v="1"/>
    <s v="Check out our latest text on instagram!"/>
    <n v="438"/>
    <n v="153"/>
    <n v="275"/>
    <n v="3066"/>
    <n v="2701"/>
    <n v="282"/>
    <x v="2"/>
    <x v="1"/>
    <n v="0.28245270711024134"/>
  </r>
  <r>
    <s v="P032"/>
    <x v="0"/>
    <x v="31"/>
    <x v="3"/>
    <s v="Check out our latest carousel on twitter!"/>
    <n v="2278"/>
    <n v="10"/>
    <n v="321"/>
    <n v="13668"/>
    <n v="12676"/>
    <n v="275"/>
    <x v="4"/>
    <x v="0"/>
    <n v="0.19088381621305239"/>
  </r>
  <r>
    <s v="P033"/>
    <x v="3"/>
    <x v="32"/>
    <x v="4"/>
    <s v="Check out our latest image on facebook!"/>
    <n v="1407"/>
    <n v="400"/>
    <n v="351"/>
    <n v="16884"/>
    <n v="15954"/>
    <n v="113"/>
    <x v="2"/>
    <x v="0"/>
    <n v="0.12781331438047855"/>
  </r>
  <r>
    <s v="P034"/>
    <x v="3"/>
    <x v="33"/>
    <x v="1"/>
    <s v="Check out our latest text on facebook!"/>
    <n v="1652"/>
    <n v="89"/>
    <n v="357"/>
    <n v="29736"/>
    <n v="28771"/>
    <n v="215"/>
    <x v="2"/>
    <x v="2"/>
    <n v="7.055421038471886E-2"/>
  </r>
  <r>
    <s v="P035"/>
    <x v="2"/>
    <x v="34"/>
    <x v="5"/>
    <s v="Check out our latest video on instagram!"/>
    <n v="3775"/>
    <n v="16"/>
    <n v="239"/>
    <n v="33975"/>
    <n v="33310"/>
    <n v="271"/>
    <x v="0"/>
    <x v="1"/>
    <n v="0.11861662987490802"/>
  </r>
  <r>
    <s v="P036"/>
    <x v="2"/>
    <x v="35"/>
    <x v="2"/>
    <s v="Check out our latest story on instagram!"/>
    <n v="4518"/>
    <n v="285"/>
    <n v="383"/>
    <n v="67770"/>
    <n v="67621"/>
    <n v="31"/>
    <x v="4"/>
    <x v="1"/>
    <n v="7.6523535487678915E-2"/>
  </r>
  <r>
    <s v="P037"/>
    <x v="3"/>
    <x v="36"/>
    <x v="3"/>
    <s v="Check out our latest carousel on facebook!"/>
    <n v="3024"/>
    <n v="925"/>
    <n v="350"/>
    <n v="24192"/>
    <n v="23518"/>
    <n v="36"/>
    <x v="4"/>
    <x v="1"/>
    <n v="0.17770337301587302"/>
  </r>
  <r>
    <s v="P038"/>
    <x v="1"/>
    <x v="37"/>
    <x v="0"/>
    <s v="Check out our latest reel on youtube!"/>
    <n v="3138"/>
    <n v="123"/>
    <n v="291"/>
    <n v="28242"/>
    <n v="27550"/>
    <n v="87"/>
    <x v="2"/>
    <x v="3"/>
    <n v="0.12577012959422137"/>
  </r>
  <r>
    <s v="P039"/>
    <x v="3"/>
    <x v="38"/>
    <x v="4"/>
    <s v="Check out our latest image on facebook!"/>
    <n v="3564"/>
    <n v="629"/>
    <n v="177"/>
    <n v="60588"/>
    <n v="59627"/>
    <n v="92"/>
    <x v="2"/>
    <x v="4"/>
    <n v="7.2126493695121141E-2"/>
  </r>
  <r>
    <s v="P040"/>
    <x v="0"/>
    <x v="39"/>
    <x v="4"/>
    <s v="Check out our latest image on twitter!"/>
    <n v="4750"/>
    <n v="151"/>
    <n v="415"/>
    <n v="38000"/>
    <n v="37792"/>
    <n v="299"/>
    <x v="4"/>
    <x v="3"/>
    <n v="0.13989473684210527"/>
  </r>
  <r>
    <s v="P041"/>
    <x v="2"/>
    <x v="40"/>
    <x v="0"/>
    <s v="Check out our latest reel on instagram!"/>
    <n v="456"/>
    <n v="629"/>
    <n v="428"/>
    <n v="8208"/>
    <n v="7377"/>
    <n v="205"/>
    <x v="0"/>
    <x v="3"/>
    <n v="0.18433235867446393"/>
  </r>
  <r>
    <s v="P042"/>
    <x v="1"/>
    <x v="41"/>
    <x v="0"/>
    <s v="Check out our latest reel on youtube!"/>
    <n v="1543"/>
    <n v="820"/>
    <n v="333"/>
    <n v="12344"/>
    <n v="11496"/>
    <n v="241"/>
    <x v="4"/>
    <x v="4"/>
    <n v="0.21840570317563188"/>
  </r>
  <r>
    <s v="P043"/>
    <x v="2"/>
    <x v="42"/>
    <x v="3"/>
    <s v="Check out our latest carousel on instagram!"/>
    <n v="2174"/>
    <n v="658"/>
    <n v="15"/>
    <n v="13044"/>
    <n v="12206"/>
    <n v="137"/>
    <x v="2"/>
    <x v="2"/>
    <n v="0.21826126954921804"/>
  </r>
  <r>
    <s v="P044"/>
    <x v="0"/>
    <x v="43"/>
    <x v="4"/>
    <s v="Check out our latest image on twitter!"/>
    <n v="2358"/>
    <n v="784"/>
    <n v="344"/>
    <n v="35370"/>
    <n v="34475"/>
    <n v="216"/>
    <x v="2"/>
    <x v="4"/>
    <n v="9.8558100084817649E-2"/>
  </r>
  <r>
    <s v="P045"/>
    <x v="3"/>
    <x v="44"/>
    <x v="5"/>
    <s v="Check out our latest video on facebook!"/>
    <n v="3371"/>
    <n v="106"/>
    <n v="327"/>
    <n v="50565"/>
    <n v="49816"/>
    <n v="176"/>
    <x v="0"/>
    <x v="0"/>
    <n v="7.5229902106199939E-2"/>
  </r>
  <r>
    <s v="P046"/>
    <x v="0"/>
    <x v="45"/>
    <x v="5"/>
    <s v="Check out our latest video on twitter!"/>
    <n v="1108"/>
    <n v="177"/>
    <n v="212"/>
    <n v="8864"/>
    <n v="8710"/>
    <n v="97"/>
    <x v="2"/>
    <x v="3"/>
    <n v="0.16888537906137185"/>
  </r>
  <r>
    <s v="P047"/>
    <x v="0"/>
    <x v="46"/>
    <x v="3"/>
    <s v="Check out our latest carousel on twitter!"/>
    <n v="2704"/>
    <n v="752"/>
    <n v="153"/>
    <n v="21632"/>
    <n v="20792"/>
    <n v="127"/>
    <x v="0"/>
    <x v="4"/>
    <n v="0.16683616863905326"/>
  </r>
  <r>
    <s v="P048"/>
    <x v="0"/>
    <x v="9"/>
    <x v="2"/>
    <s v="Check out our latest story on twitter!"/>
    <n v="1950"/>
    <n v="295"/>
    <n v="478"/>
    <n v="37050"/>
    <n v="36272"/>
    <n v="119"/>
    <x v="2"/>
    <x v="4"/>
    <n v="7.349527665317139E-2"/>
  </r>
  <r>
    <s v="P049"/>
    <x v="0"/>
    <x v="47"/>
    <x v="2"/>
    <s v="Check out our latest story on twitter!"/>
    <n v="2164"/>
    <n v="549"/>
    <n v="274"/>
    <n v="28132"/>
    <n v="27361"/>
    <n v="177"/>
    <x v="2"/>
    <x v="3"/>
    <n v="0.10617801791554102"/>
  </r>
  <r>
    <s v="P050"/>
    <x v="1"/>
    <x v="48"/>
    <x v="2"/>
    <s v="Check out our latest story on youtube!"/>
    <n v="2754"/>
    <n v="130"/>
    <n v="90"/>
    <n v="22032"/>
    <n v="21288"/>
    <n v="112"/>
    <x v="2"/>
    <x v="2"/>
    <n v="0.13498547567175018"/>
  </r>
  <r>
    <s v="P051"/>
    <x v="3"/>
    <x v="49"/>
    <x v="3"/>
    <s v="Check out our latest carousel on facebook!"/>
    <n v="2200"/>
    <n v="504"/>
    <n v="239"/>
    <n v="37400"/>
    <n v="36938"/>
    <n v="225"/>
    <x v="0"/>
    <x v="1"/>
    <n v="7.8689839572192513E-2"/>
  </r>
  <r>
    <s v="P052"/>
    <x v="3"/>
    <x v="50"/>
    <x v="4"/>
    <s v="Check out our latest image on facebook!"/>
    <n v="947"/>
    <n v="338"/>
    <n v="350"/>
    <n v="10417"/>
    <n v="9730"/>
    <n v="34"/>
    <x v="2"/>
    <x v="3"/>
    <n v="0.1569549774407219"/>
  </r>
  <r>
    <s v="P053"/>
    <x v="1"/>
    <x v="46"/>
    <x v="3"/>
    <s v="Check out our latest carousel on youtube!"/>
    <n v="804"/>
    <n v="639"/>
    <n v="43"/>
    <n v="4020"/>
    <n v="3144"/>
    <n v="11"/>
    <x v="4"/>
    <x v="4"/>
    <n v="0.36965174129353234"/>
  </r>
  <r>
    <s v="P053"/>
    <x v="1"/>
    <x v="46"/>
    <x v="3"/>
    <s v="Check out our latest carousel on youtube!"/>
    <n v="804"/>
    <n v="639"/>
    <n v="43"/>
    <n v="4020"/>
    <n v="3144"/>
    <n v="11"/>
    <x v="3"/>
    <x v="4"/>
    <n v="0.36965174129353234"/>
  </r>
  <r>
    <s v="P054"/>
    <x v="1"/>
    <x v="51"/>
    <x v="3"/>
    <s v="Check out our latest carousel on youtube!"/>
    <n v="1686"/>
    <n v="904"/>
    <n v="472"/>
    <n v="18546"/>
    <n v="18171"/>
    <n v="52"/>
    <x v="0"/>
    <x v="1"/>
    <n v="0.16510298716704411"/>
  </r>
  <r>
    <s v="P055"/>
    <x v="3"/>
    <x v="52"/>
    <x v="4"/>
    <s v="Check out our latest image on facebook!"/>
    <n v="1226"/>
    <n v="119"/>
    <n v="7"/>
    <n v="14712"/>
    <n v="14049"/>
    <n v="123"/>
    <x v="4"/>
    <x v="3"/>
    <n v="9.1897770527460579E-2"/>
  </r>
  <r>
    <s v="P056"/>
    <x v="3"/>
    <x v="53"/>
    <x v="3"/>
    <s v="Check out our latest carousel on facebook!"/>
    <n v="2946"/>
    <n v="498"/>
    <n v="367"/>
    <n v="29460"/>
    <n v="28527"/>
    <n v="60"/>
    <x v="0"/>
    <x v="2"/>
    <n v="0.12936184657162253"/>
  </r>
  <r>
    <s v="P057"/>
    <x v="0"/>
    <x v="54"/>
    <x v="5"/>
    <s v="Check out our latest video on twitter!"/>
    <n v="2825"/>
    <n v="535"/>
    <n v="295"/>
    <n v="45200"/>
    <n v="44739"/>
    <n v="169"/>
    <x v="2"/>
    <x v="0"/>
    <n v="8.0862831858407078E-2"/>
  </r>
  <r>
    <s v="P058"/>
    <x v="2"/>
    <x v="55"/>
    <x v="0"/>
    <s v="Check out our latest reel on instagram!"/>
    <n v="103"/>
    <n v="770"/>
    <n v="19"/>
    <n v="1030"/>
    <n v="410"/>
    <n v="262"/>
    <x v="2"/>
    <x v="3"/>
    <n v="0.86601941747572819"/>
  </r>
  <r>
    <s v="P059"/>
    <x v="2"/>
    <x v="56"/>
    <x v="1"/>
    <s v="Check out our latest text on instagram!"/>
    <n v="2180"/>
    <n v="263"/>
    <n v="387"/>
    <n v="30520"/>
    <n v="30059"/>
    <n v="174"/>
    <x v="4"/>
    <x v="4"/>
    <n v="9.2726081258191345E-2"/>
  </r>
  <r>
    <s v="P060"/>
    <x v="2"/>
    <x v="57"/>
    <x v="5"/>
    <s v="Check out our latest video on instagram!"/>
    <n v="904"/>
    <n v="973"/>
    <n v="63"/>
    <n v="11752"/>
    <n v="11580"/>
    <n v="84"/>
    <x v="4"/>
    <x v="2"/>
    <n v="0.1650782845473111"/>
  </r>
  <r>
    <s v="P060"/>
    <x v="2"/>
    <x v="57"/>
    <x v="5"/>
    <s v="Check out our latest video on instagram!"/>
    <n v="904"/>
    <n v="973"/>
    <n v="63"/>
    <n v="11752"/>
    <n v="11580"/>
    <n v="84"/>
    <x v="2"/>
    <x v="2"/>
    <n v="0.1650782845473111"/>
  </r>
  <r>
    <s v="P060"/>
    <x v="2"/>
    <x v="57"/>
    <x v="5"/>
    <s v="Check out our latest video on instagram!"/>
    <n v="904"/>
    <n v="973"/>
    <n v="63"/>
    <n v="11752"/>
    <n v="11580"/>
    <n v="84"/>
    <x v="1"/>
    <x v="2"/>
    <n v="0.1650782845473111"/>
  </r>
  <r>
    <s v="P061"/>
    <x v="0"/>
    <x v="58"/>
    <x v="5"/>
    <s v="Check out our latest video on twitter!"/>
    <n v="4886"/>
    <n v="983"/>
    <n v="409"/>
    <n v="43974"/>
    <n v="43239"/>
    <n v="65"/>
    <x v="2"/>
    <x v="0"/>
    <n v="0.14276618001546368"/>
  </r>
  <r>
    <s v="P062"/>
    <x v="0"/>
    <x v="59"/>
    <x v="3"/>
    <s v="Check out our latest carousel on twitter!"/>
    <n v="53"/>
    <n v="81"/>
    <n v="379"/>
    <n v="954"/>
    <n v="7"/>
    <n v="148"/>
    <x v="2"/>
    <x v="2"/>
    <n v="0.53773584905660377"/>
  </r>
  <r>
    <s v="P063"/>
    <x v="0"/>
    <x v="31"/>
    <x v="3"/>
    <s v="Check out our latest carousel on twitter!"/>
    <n v="4507"/>
    <n v="217"/>
    <n v="13"/>
    <n v="90140"/>
    <n v="89591"/>
    <n v="125"/>
    <x v="0"/>
    <x v="2"/>
    <n v="5.2551586421122697E-2"/>
  </r>
  <r>
    <s v="P064"/>
    <x v="3"/>
    <x v="60"/>
    <x v="4"/>
    <s v="Check out our latest image on facebook!"/>
    <n v="2878"/>
    <n v="248"/>
    <n v="416"/>
    <n v="43170"/>
    <n v="42667"/>
    <n v="75"/>
    <x v="0"/>
    <x v="2"/>
    <n v="8.2047718322909427E-2"/>
  </r>
  <r>
    <s v="P065"/>
    <x v="2"/>
    <x v="61"/>
    <x v="2"/>
    <s v="Check out our latest story on instagram!"/>
    <n v="1881"/>
    <n v="501"/>
    <n v="99"/>
    <n v="20691"/>
    <n v="19987"/>
    <n v="289"/>
    <x v="4"/>
    <x v="4"/>
    <n v="0.11990720603160794"/>
  </r>
  <r>
    <s v="P066"/>
    <x v="0"/>
    <x v="62"/>
    <x v="3"/>
    <s v="Check out our latest carousel on twitter!"/>
    <n v="432"/>
    <n v="171"/>
    <n v="280"/>
    <n v="3024"/>
    <n v="2285"/>
    <n v="184"/>
    <x v="4"/>
    <x v="0"/>
    <n v="0.29199735449735448"/>
  </r>
  <r>
    <s v="P067"/>
    <x v="3"/>
    <x v="63"/>
    <x v="3"/>
    <s v="Check out our latest carousel on facebook!"/>
    <n v="4712"/>
    <n v="568"/>
    <n v="127"/>
    <n v="84816"/>
    <n v="84691"/>
    <n v="100"/>
    <x v="4"/>
    <x v="2"/>
    <n v="6.3749764195434822E-2"/>
  </r>
  <r>
    <s v="P068"/>
    <x v="2"/>
    <x v="64"/>
    <x v="2"/>
    <s v="Check out our latest story on instagram!"/>
    <n v="2610"/>
    <n v="126"/>
    <n v="288"/>
    <n v="15660"/>
    <n v="15145"/>
    <n v="73"/>
    <x v="4"/>
    <x v="4"/>
    <n v="0.19310344827586207"/>
  </r>
  <r>
    <s v="P069"/>
    <x v="0"/>
    <x v="40"/>
    <x v="1"/>
    <s v="Check out our latest text on twitter!"/>
    <n v="1292"/>
    <n v="626"/>
    <n v="496"/>
    <n v="25840"/>
    <n v="24916"/>
    <n v="149"/>
    <x v="0"/>
    <x v="2"/>
    <n v="9.3421052631578946E-2"/>
  </r>
  <r>
    <s v="P070"/>
    <x v="3"/>
    <x v="65"/>
    <x v="5"/>
    <s v="Check out our latest video on facebook!"/>
    <n v="199"/>
    <n v="772"/>
    <n v="400"/>
    <n v="3582"/>
    <n v="2988"/>
    <n v="43"/>
    <x v="2"/>
    <x v="4"/>
    <n v="0.38274706867671693"/>
  </r>
  <r>
    <s v="P071"/>
    <x v="1"/>
    <x v="66"/>
    <x v="3"/>
    <s v="Check out our latest carousel on youtube!"/>
    <n v="2551"/>
    <n v="915"/>
    <n v="205"/>
    <n v="30612"/>
    <n v="30360"/>
    <n v="227"/>
    <x v="2"/>
    <x v="1"/>
    <n v="0.1199202926956749"/>
  </r>
  <r>
    <s v="P072"/>
    <x v="1"/>
    <x v="67"/>
    <x v="0"/>
    <s v="Check out our latest reel on youtube!"/>
    <n v="296"/>
    <n v="60"/>
    <n v="141"/>
    <n v="5624"/>
    <n v="5239"/>
    <n v="88"/>
    <x v="4"/>
    <x v="1"/>
    <n v="8.837126600284495E-2"/>
  </r>
  <r>
    <s v="P073"/>
    <x v="3"/>
    <x v="68"/>
    <x v="2"/>
    <s v="Check out our latest story on facebook!"/>
    <n v="4126"/>
    <n v="426"/>
    <n v="486"/>
    <n v="78394"/>
    <n v="77798"/>
    <n v="88"/>
    <x v="0"/>
    <x v="3"/>
    <n v="6.4265122330790625E-2"/>
  </r>
  <r>
    <s v="P074"/>
    <x v="1"/>
    <x v="69"/>
    <x v="0"/>
    <s v="Check out our latest reel on youtube!"/>
    <n v="1855"/>
    <n v="200"/>
    <n v="174"/>
    <n v="16695"/>
    <n v="16330"/>
    <n v="123"/>
    <x v="2"/>
    <x v="2"/>
    <n v="0.13351302785265048"/>
  </r>
  <r>
    <s v="P075"/>
    <x v="2"/>
    <x v="70"/>
    <x v="0"/>
    <s v="Check out our latest reel on instagram!"/>
    <n v="1674"/>
    <n v="929"/>
    <n v="37"/>
    <n v="21762"/>
    <n v="20998"/>
    <n v="255"/>
    <x v="2"/>
    <x v="3"/>
    <n v="0.12131237937689551"/>
  </r>
  <r>
    <s v="P076"/>
    <x v="0"/>
    <x v="71"/>
    <x v="2"/>
    <s v="Check out our latest story on twitter!"/>
    <n v="1121"/>
    <n v="135"/>
    <n v="18"/>
    <n v="15694"/>
    <n v="14957"/>
    <n v="99"/>
    <x v="2"/>
    <x v="3"/>
    <n v="8.1177520071364848E-2"/>
  </r>
  <r>
    <s v="P077"/>
    <x v="3"/>
    <x v="27"/>
    <x v="2"/>
    <s v="Check out our latest story on facebook!"/>
    <n v="1249"/>
    <n v="116"/>
    <n v="420"/>
    <n v="8743"/>
    <n v="8538"/>
    <n v="63"/>
    <x v="2"/>
    <x v="4"/>
    <n v="0.20416333066453163"/>
  </r>
  <r>
    <s v="P078"/>
    <x v="0"/>
    <x v="52"/>
    <x v="4"/>
    <s v="Check out our latest image on twitter!"/>
    <n v="954"/>
    <n v="324"/>
    <n v="288"/>
    <n v="19080"/>
    <n v="18859"/>
    <n v="21"/>
    <x v="0"/>
    <x v="3"/>
    <n v="8.2075471698113203E-2"/>
  </r>
  <r>
    <s v="P079"/>
    <x v="2"/>
    <x v="72"/>
    <x v="3"/>
    <s v="Check out our latest carousel on instagram!"/>
    <n v="3068"/>
    <n v="137"/>
    <n v="329"/>
    <n v="39884"/>
    <n v="39404"/>
    <n v="266"/>
    <x v="4"/>
    <x v="1"/>
    <n v="8.860696018453515E-2"/>
  </r>
  <r>
    <s v="P080"/>
    <x v="2"/>
    <x v="49"/>
    <x v="2"/>
    <s v="Check out our latest story on instagram!"/>
    <n v="2103"/>
    <n v="892"/>
    <n v="103"/>
    <n v="39957"/>
    <n v="39466"/>
    <n v="28"/>
    <x v="0"/>
    <x v="4"/>
    <n v="7.7533348349475686E-2"/>
  </r>
  <r>
    <s v="P081"/>
    <x v="2"/>
    <x v="73"/>
    <x v="2"/>
    <s v="Check out our latest story on instagram!"/>
    <n v="1816"/>
    <n v="29"/>
    <n v="41"/>
    <n v="19976"/>
    <n v="19262"/>
    <n v="283"/>
    <x v="2"/>
    <x v="2"/>
    <n v="9.4413295955146179E-2"/>
  </r>
  <r>
    <s v="P082"/>
    <x v="2"/>
    <x v="74"/>
    <x v="4"/>
    <s v="Check out our latest image on instagram!"/>
    <n v="725"/>
    <n v="88"/>
    <n v="428"/>
    <n v="14500"/>
    <n v="13637"/>
    <n v="200"/>
    <x v="0"/>
    <x v="2"/>
    <n v="8.558620689655172E-2"/>
  </r>
  <r>
    <s v="P082"/>
    <x v="2"/>
    <x v="74"/>
    <x v="4"/>
    <s v="Check out our latest image on instagram!"/>
    <n v="725"/>
    <n v="88"/>
    <n v="428"/>
    <n v="14500"/>
    <n v="13637"/>
    <n v="200"/>
    <x v="2"/>
    <x v="2"/>
    <n v="8.558620689655172E-2"/>
  </r>
  <r>
    <s v="P082"/>
    <x v="2"/>
    <x v="74"/>
    <x v="4"/>
    <s v="Check out our latest image on instagram!"/>
    <n v="725"/>
    <n v="88"/>
    <n v="428"/>
    <n v="14500"/>
    <n v="13637"/>
    <n v="200"/>
    <x v="1"/>
    <x v="2"/>
    <n v="8.558620689655172E-2"/>
  </r>
  <r>
    <s v="P083"/>
    <x v="1"/>
    <x v="75"/>
    <x v="5"/>
    <s v="Check out our latest video on youtube!"/>
    <n v="1094"/>
    <n v="472"/>
    <n v="21"/>
    <n v="9846"/>
    <n v="9609"/>
    <n v="112"/>
    <x v="4"/>
    <x v="4"/>
    <n v="0.16118220597196831"/>
  </r>
  <r>
    <s v="P084"/>
    <x v="3"/>
    <x v="76"/>
    <x v="4"/>
    <s v="Check out our latest image on facebook!"/>
    <n v="1841"/>
    <n v="851"/>
    <n v="342"/>
    <n v="34979"/>
    <n v="34154"/>
    <n v="255"/>
    <x v="0"/>
    <x v="3"/>
    <n v="8.6737756939878216E-2"/>
  </r>
  <r>
    <s v="P085"/>
    <x v="2"/>
    <x v="35"/>
    <x v="4"/>
    <s v="Check out our latest image on instagram!"/>
    <n v="4177"/>
    <n v="569"/>
    <n v="55"/>
    <n v="25062"/>
    <n v="24847"/>
    <n v="230"/>
    <x v="0"/>
    <x v="0"/>
    <n v="0.19156491900087783"/>
  </r>
  <r>
    <s v="P086"/>
    <x v="1"/>
    <x v="77"/>
    <x v="1"/>
    <s v="Check out our latest text on youtube!"/>
    <n v="3428"/>
    <n v="305"/>
    <n v="85"/>
    <n v="58276"/>
    <n v="58052"/>
    <n v="242"/>
    <x v="4"/>
    <x v="3"/>
    <n v="6.5515821264328367E-2"/>
  </r>
  <r>
    <s v="P086"/>
    <x v="1"/>
    <x v="77"/>
    <x v="1"/>
    <s v="Check out our latest text on youtube!"/>
    <n v="3428"/>
    <n v="305"/>
    <n v="85"/>
    <n v="58276"/>
    <n v="58052"/>
    <n v="242"/>
    <x v="3"/>
    <x v="3"/>
    <n v="6.5515821264328367E-2"/>
  </r>
  <r>
    <s v="P087"/>
    <x v="0"/>
    <x v="78"/>
    <x v="5"/>
    <s v="Check out our latest video on twitter!"/>
    <n v="1436"/>
    <n v="765"/>
    <n v="496"/>
    <n v="12924"/>
    <n v="12701"/>
    <n v="197"/>
    <x v="0"/>
    <x v="2"/>
    <n v="0.20868152274837512"/>
  </r>
  <r>
    <s v="P088"/>
    <x v="3"/>
    <x v="79"/>
    <x v="2"/>
    <s v="Check out our latest story on facebook!"/>
    <n v="302"/>
    <n v="47"/>
    <n v="430"/>
    <n v="5738"/>
    <n v="4890"/>
    <n v="25"/>
    <x v="2"/>
    <x v="3"/>
    <n v="0.13576158940397351"/>
  </r>
  <r>
    <s v="P089"/>
    <x v="0"/>
    <x v="80"/>
    <x v="4"/>
    <s v="Check out our latest image on twitter!"/>
    <n v="2214"/>
    <n v="249"/>
    <n v="152"/>
    <n v="15498"/>
    <n v="14800"/>
    <n v="180"/>
    <x v="4"/>
    <x v="4"/>
    <n v="0.16873144921925409"/>
  </r>
  <r>
    <s v="P090"/>
    <x v="2"/>
    <x v="81"/>
    <x v="4"/>
    <s v="Check out our latest image on instagram!"/>
    <n v="3861"/>
    <n v="960"/>
    <n v="101"/>
    <n v="69498"/>
    <n v="68817"/>
    <n v="297"/>
    <x v="2"/>
    <x v="3"/>
    <n v="7.0822181933293038E-2"/>
  </r>
  <r>
    <s v="P091"/>
    <x v="3"/>
    <x v="82"/>
    <x v="4"/>
    <s v="Check out our latest image on facebook!"/>
    <n v="1263"/>
    <n v="397"/>
    <n v="357"/>
    <n v="25260"/>
    <n v="24615"/>
    <n v="137"/>
    <x v="4"/>
    <x v="3"/>
    <n v="7.984956452889945E-2"/>
  </r>
  <r>
    <s v="P092"/>
    <x v="0"/>
    <x v="54"/>
    <x v="2"/>
    <s v="Check out our latest story on twitter!"/>
    <n v="3801"/>
    <n v="967"/>
    <n v="401"/>
    <n v="38010"/>
    <n v="37625"/>
    <n v="236"/>
    <x v="0"/>
    <x v="2"/>
    <n v="0.13599052880820836"/>
  </r>
  <r>
    <s v="P093"/>
    <x v="2"/>
    <x v="83"/>
    <x v="5"/>
    <s v="Check out our latest video on instagram!"/>
    <n v="1431"/>
    <n v="951"/>
    <n v="26"/>
    <n v="8586"/>
    <n v="8396"/>
    <n v="150"/>
    <x v="4"/>
    <x v="2"/>
    <n v="0.28045655718611695"/>
  </r>
  <r>
    <s v="P094"/>
    <x v="2"/>
    <x v="71"/>
    <x v="4"/>
    <s v="Check out our latest image on instagram!"/>
    <n v="2647"/>
    <n v="304"/>
    <n v="170"/>
    <n v="18529"/>
    <n v="17841"/>
    <n v="46"/>
    <x v="0"/>
    <x v="2"/>
    <n v="0.16843866371633656"/>
  </r>
  <r>
    <s v="P095"/>
    <x v="2"/>
    <x v="84"/>
    <x v="1"/>
    <s v="Check out our latest text on instagram!"/>
    <n v="3182"/>
    <n v="559"/>
    <n v="160"/>
    <n v="57276"/>
    <n v="56890"/>
    <n v="163"/>
    <x v="0"/>
    <x v="3"/>
    <n v="6.8108806480899509E-2"/>
  </r>
  <r>
    <s v="P096"/>
    <x v="0"/>
    <x v="85"/>
    <x v="4"/>
    <s v="Check out our latest image on twitter!"/>
    <n v="1238"/>
    <n v="366"/>
    <n v="444"/>
    <n v="19808"/>
    <n v="19334"/>
    <n v="123"/>
    <x v="0"/>
    <x v="4"/>
    <n v="0.10339256865912763"/>
  </r>
  <r>
    <s v="P097"/>
    <x v="2"/>
    <x v="86"/>
    <x v="4"/>
    <s v="Check out our latest image on instagram!"/>
    <n v="4739"/>
    <n v="527"/>
    <n v="135"/>
    <n v="61607"/>
    <n v="61333"/>
    <n v="36"/>
    <x v="2"/>
    <x v="1"/>
    <n v="8.7668609086629767E-2"/>
  </r>
  <r>
    <s v="P097"/>
    <x v="2"/>
    <x v="86"/>
    <x v="4"/>
    <s v="Check out our latest image on instagram!"/>
    <n v="4739"/>
    <n v="527"/>
    <n v="135"/>
    <n v="61607"/>
    <n v="61333"/>
    <n v="36"/>
    <x v="1"/>
    <x v="1"/>
    <n v="8.7668609086629767E-2"/>
  </r>
  <r>
    <s v="P098"/>
    <x v="0"/>
    <x v="47"/>
    <x v="2"/>
    <s v="Check out our latest story on twitter!"/>
    <n v="1575"/>
    <n v="771"/>
    <n v="486"/>
    <n v="25200"/>
    <n v="24826"/>
    <n v="17"/>
    <x v="0"/>
    <x v="3"/>
    <n v="0.11238095238095239"/>
  </r>
  <r>
    <s v="P099"/>
    <x v="1"/>
    <x v="87"/>
    <x v="3"/>
    <s v="Check out our latest carousel on youtube!"/>
    <n v="4171"/>
    <n v="548"/>
    <n v="86"/>
    <n v="66736"/>
    <n v="66634"/>
    <n v="173"/>
    <x v="0"/>
    <x v="2"/>
    <n v="7.2000119875329657E-2"/>
  </r>
  <r>
    <s v="P100"/>
    <x v="1"/>
    <x v="88"/>
    <x v="5"/>
    <s v="Check out our latest video on youtube!"/>
    <n v="1766"/>
    <n v="92"/>
    <n v="424"/>
    <n v="24724"/>
    <n v="24333"/>
    <n v="52"/>
    <x v="4"/>
    <x v="4"/>
    <n v="9.2298980747451867E-2"/>
  </r>
  <r>
    <s v="P101"/>
    <x v="1"/>
    <x v="68"/>
    <x v="5"/>
    <s v="Check out our latest video on youtube!"/>
    <n v="4450"/>
    <n v="983"/>
    <n v="143"/>
    <n v="75650"/>
    <n v="75008"/>
    <n v="12"/>
    <x v="0"/>
    <x v="2"/>
    <n v="7.3707865168539333E-2"/>
  </r>
  <r>
    <s v="P102"/>
    <x v="0"/>
    <x v="89"/>
    <x v="0"/>
    <s v="Check out our latest reel on twitter!"/>
    <n v="1000"/>
    <n v="978"/>
    <n v="162"/>
    <n v="6000"/>
    <n v="5221"/>
    <n v="223"/>
    <x v="4"/>
    <x v="1"/>
    <n v="0.35666666666666669"/>
  </r>
  <r>
    <s v="P103"/>
    <x v="3"/>
    <x v="90"/>
    <x v="4"/>
    <s v="Check out our latest image on facebook!"/>
    <n v="3689"/>
    <n v="48"/>
    <n v="306"/>
    <n v="40579"/>
    <n v="39588"/>
    <n v="212"/>
    <x v="4"/>
    <x v="1"/>
    <n v="9.9632815002833983E-2"/>
  </r>
  <r>
    <s v="P104"/>
    <x v="1"/>
    <x v="91"/>
    <x v="2"/>
    <s v="Check out our latest story on youtube!"/>
    <n v="3655"/>
    <n v="568"/>
    <n v="286"/>
    <n v="32895"/>
    <n v="32015"/>
    <n v="199"/>
    <x v="2"/>
    <x v="2"/>
    <n v="0.13707250341997265"/>
  </r>
  <r>
    <s v="P105"/>
    <x v="2"/>
    <x v="92"/>
    <x v="3"/>
    <s v="Check out our latest carousel on instagram!"/>
    <n v="498"/>
    <n v="38"/>
    <n v="42"/>
    <n v="4482"/>
    <n v="3647"/>
    <n v="32"/>
    <x v="0"/>
    <x v="0"/>
    <n v="0.12896028558679162"/>
  </r>
  <r>
    <s v="P106"/>
    <x v="2"/>
    <x v="93"/>
    <x v="4"/>
    <s v="Check out our latest image on instagram!"/>
    <n v="4619"/>
    <n v="821"/>
    <n v="499"/>
    <n v="69285"/>
    <n v="69141"/>
    <n v="298"/>
    <x v="2"/>
    <x v="3"/>
    <n v="8.5718409468138843E-2"/>
  </r>
  <r>
    <s v="P107"/>
    <x v="1"/>
    <x v="94"/>
    <x v="4"/>
    <s v="Check out our latest image on youtube!"/>
    <n v="4832"/>
    <n v="893"/>
    <n v="10"/>
    <n v="91808"/>
    <n v="91296"/>
    <n v="182"/>
    <x v="2"/>
    <x v="4"/>
    <n v="6.2467323109097243E-2"/>
  </r>
  <r>
    <s v="P108"/>
    <x v="0"/>
    <x v="95"/>
    <x v="5"/>
    <s v="Check out our latest video on twitter!"/>
    <n v="4050"/>
    <n v="871"/>
    <n v="347"/>
    <n v="52650"/>
    <n v="51755"/>
    <n v="209"/>
    <x v="2"/>
    <x v="1"/>
    <n v="0.10005698005698006"/>
  </r>
  <r>
    <s v="P109"/>
    <x v="0"/>
    <x v="96"/>
    <x v="2"/>
    <s v="Check out our latest story on twitter!"/>
    <n v="3649"/>
    <n v="215"/>
    <n v="413"/>
    <n v="25543"/>
    <n v="24963"/>
    <n v="167"/>
    <x v="0"/>
    <x v="2"/>
    <n v="0.16744313510550835"/>
  </r>
  <r>
    <s v="P110"/>
    <x v="2"/>
    <x v="97"/>
    <x v="0"/>
    <s v="Check out our latest reel on instagram!"/>
    <n v="3523"/>
    <n v="753"/>
    <n v="482"/>
    <n v="38753"/>
    <n v="38579"/>
    <n v="270"/>
    <x v="4"/>
    <x v="1"/>
    <n v="0.12277759141227776"/>
  </r>
  <r>
    <s v="P111"/>
    <x v="1"/>
    <x v="98"/>
    <x v="4"/>
    <s v="Check out our latest image on youtube!"/>
    <n v="2719"/>
    <n v="17"/>
    <n v="285"/>
    <n v="40785"/>
    <n v="40281"/>
    <n v="40"/>
    <x v="2"/>
    <x v="1"/>
    <n v="7.4071349760941527E-2"/>
  </r>
  <r>
    <s v="P112"/>
    <x v="0"/>
    <x v="99"/>
    <x v="2"/>
    <s v="Check out our latest story on twitter!"/>
    <n v="1957"/>
    <n v="877"/>
    <n v="238"/>
    <n v="17613"/>
    <n v="16865"/>
    <n v="297"/>
    <x v="0"/>
    <x v="2"/>
    <n v="0.17441662408448305"/>
  </r>
  <r>
    <s v="P113"/>
    <x v="0"/>
    <x v="100"/>
    <x v="3"/>
    <s v="Check out our latest carousel on twitter!"/>
    <n v="4419"/>
    <n v="236"/>
    <n v="369"/>
    <n v="44190"/>
    <n v="43582"/>
    <n v="10"/>
    <x v="4"/>
    <x v="0"/>
    <n v="0.11369088028965829"/>
  </r>
  <r>
    <s v="P114"/>
    <x v="0"/>
    <x v="101"/>
    <x v="2"/>
    <s v="Check out our latest story on twitter!"/>
    <n v="4000"/>
    <n v="689"/>
    <n v="488"/>
    <n v="40000"/>
    <n v="39569"/>
    <n v="44"/>
    <x v="0"/>
    <x v="0"/>
    <n v="0.12942500000000001"/>
  </r>
  <r>
    <s v="P115"/>
    <x v="0"/>
    <x v="102"/>
    <x v="4"/>
    <s v="Check out our latest image on twitter!"/>
    <n v="2493"/>
    <n v="97"/>
    <n v="44"/>
    <n v="42381"/>
    <n v="41991"/>
    <n v="242"/>
    <x v="2"/>
    <x v="3"/>
    <n v="6.2150491965739366E-2"/>
  </r>
  <r>
    <s v="P115"/>
    <x v="0"/>
    <x v="102"/>
    <x v="4"/>
    <s v="Check out our latest image on twitter!"/>
    <n v="2493"/>
    <n v="97"/>
    <n v="44"/>
    <n v="42381"/>
    <n v="41991"/>
    <n v="242"/>
    <x v="1"/>
    <x v="3"/>
    <n v="6.2150491965739366E-2"/>
  </r>
  <r>
    <s v="P116"/>
    <x v="1"/>
    <x v="103"/>
    <x v="0"/>
    <s v="Check out our latest reel on youtube!"/>
    <n v="3704"/>
    <n v="186"/>
    <n v="458"/>
    <n v="25928"/>
    <n v="25081"/>
    <n v="131"/>
    <x v="2"/>
    <x v="4"/>
    <n v="0.16769515581610614"/>
  </r>
  <r>
    <s v="P117"/>
    <x v="0"/>
    <x v="104"/>
    <x v="4"/>
    <s v="Check out our latest image on twitter!"/>
    <n v="1606"/>
    <n v="451"/>
    <n v="405"/>
    <n v="20878"/>
    <n v="20190"/>
    <n v="219"/>
    <x v="4"/>
    <x v="3"/>
    <n v="0.11792317271769326"/>
  </r>
  <r>
    <s v="P118"/>
    <x v="3"/>
    <x v="104"/>
    <x v="4"/>
    <s v="Check out our latest image on facebook!"/>
    <n v="4551"/>
    <n v="714"/>
    <n v="207"/>
    <n v="68265"/>
    <n v="67754"/>
    <n v="57"/>
    <x v="0"/>
    <x v="2"/>
    <n v="8.0158206987475278E-2"/>
  </r>
  <r>
    <s v="P119"/>
    <x v="2"/>
    <x v="105"/>
    <x v="0"/>
    <s v="Check out our latest reel on instagram!"/>
    <n v="1970"/>
    <n v="675"/>
    <n v="478"/>
    <n v="9850"/>
    <n v="8924"/>
    <n v="117"/>
    <x v="0"/>
    <x v="4"/>
    <n v="0.31705583756345179"/>
  </r>
  <r>
    <s v="P120"/>
    <x v="3"/>
    <x v="54"/>
    <x v="2"/>
    <s v="Check out our latest story on facebook!"/>
    <n v="780"/>
    <n v="928"/>
    <n v="301"/>
    <n v="8580"/>
    <n v="8081"/>
    <n v="91"/>
    <x v="4"/>
    <x v="2"/>
    <n v="0.23414918414918415"/>
  </r>
  <r>
    <s v="P121"/>
    <x v="2"/>
    <x v="97"/>
    <x v="2"/>
    <s v="Check out our latest story on instagram!"/>
    <n v="498"/>
    <n v="701"/>
    <n v="412"/>
    <n v="4980"/>
    <n v="4185"/>
    <n v="185"/>
    <x v="0"/>
    <x v="4"/>
    <n v="0.32349397590361445"/>
  </r>
  <r>
    <s v="P122"/>
    <x v="2"/>
    <x v="100"/>
    <x v="1"/>
    <s v="Check out our latest text on instagram!"/>
    <n v="3432"/>
    <n v="869"/>
    <n v="123"/>
    <n v="54912"/>
    <n v="53916"/>
    <n v="264"/>
    <x v="4"/>
    <x v="1"/>
    <n v="8.0565268065268064E-2"/>
  </r>
  <r>
    <s v="P123"/>
    <x v="2"/>
    <x v="92"/>
    <x v="2"/>
    <s v="Check out our latest story on instagram!"/>
    <n v="4363"/>
    <n v="649"/>
    <n v="140"/>
    <n v="21815"/>
    <n v="21481"/>
    <n v="157"/>
    <x v="4"/>
    <x v="0"/>
    <n v="0.23616777446710979"/>
  </r>
  <r>
    <s v="P124"/>
    <x v="1"/>
    <x v="106"/>
    <x v="3"/>
    <s v="Check out our latest carousel on youtube!"/>
    <n v="736"/>
    <n v="771"/>
    <n v="225"/>
    <n v="5152"/>
    <n v="4706"/>
    <n v="19"/>
    <x v="4"/>
    <x v="0"/>
    <n v="0.33618012422360249"/>
  </r>
  <r>
    <s v="P125"/>
    <x v="0"/>
    <x v="107"/>
    <x v="3"/>
    <s v="Check out our latest carousel on twitter!"/>
    <n v="3811"/>
    <n v="866"/>
    <n v="216"/>
    <n v="34299"/>
    <n v="34088"/>
    <n v="233"/>
    <x v="2"/>
    <x v="3"/>
    <n v="0.14265722032712325"/>
  </r>
  <r>
    <s v="P126"/>
    <x v="2"/>
    <x v="61"/>
    <x v="3"/>
    <s v="Check out our latest carousel on instagram!"/>
    <n v="4158"/>
    <n v="167"/>
    <n v="241"/>
    <n v="45738"/>
    <n v="45183"/>
    <n v="142"/>
    <x v="0"/>
    <x v="4"/>
    <n v="9.9829463465827106E-2"/>
  </r>
  <r>
    <s v="P127"/>
    <x v="3"/>
    <x v="77"/>
    <x v="0"/>
    <s v="Check out our latest reel on facebook!"/>
    <n v="3452"/>
    <n v="652"/>
    <n v="442"/>
    <n v="65588"/>
    <n v="65049"/>
    <n v="158"/>
    <x v="0"/>
    <x v="2"/>
    <n v="6.9311459413307311E-2"/>
  </r>
  <r>
    <s v="P128"/>
    <x v="0"/>
    <x v="80"/>
    <x v="4"/>
    <s v="Check out our latest image on twitter!"/>
    <n v="3092"/>
    <n v="106"/>
    <n v="291"/>
    <n v="27828"/>
    <n v="27217"/>
    <n v="102"/>
    <x v="0"/>
    <x v="4"/>
    <n v="0.12537731780940059"/>
  </r>
  <r>
    <s v="P129"/>
    <x v="0"/>
    <x v="11"/>
    <x v="1"/>
    <s v="Check out our latest text on twitter!"/>
    <n v="2147"/>
    <n v="430"/>
    <n v="393"/>
    <n v="17176"/>
    <n v="16483"/>
    <n v="170"/>
    <x v="2"/>
    <x v="4"/>
    <n v="0.17291569632044715"/>
  </r>
  <r>
    <s v="P130"/>
    <x v="1"/>
    <x v="108"/>
    <x v="0"/>
    <s v="Check out our latest reel on youtube!"/>
    <n v="2936"/>
    <n v="439"/>
    <n v="44"/>
    <n v="38168"/>
    <n v="37571"/>
    <n v="22"/>
    <x v="4"/>
    <x v="3"/>
    <n v="8.9577656675749323E-2"/>
  </r>
  <r>
    <s v="P131"/>
    <x v="2"/>
    <x v="54"/>
    <x v="0"/>
    <s v="Check out our latest reel on instagram!"/>
    <n v="4840"/>
    <n v="658"/>
    <n v="211"/>
    <n v="43560"/>
    <n v="43225"/>
    <n v="57"/>
    <x v="0"/>
    <x v="2"/>
    <n v="0.13106060606060607"/>
  </r>
  <r>
    <s v="P132"/>
    <x v="2"/>
    <x v="27"/>
    <x v="2"/>
    <s v="Check out our latest story on instagram!"/>
    <n v="1947"/>
    <n v="842"/>
    <n v="101"/>
    <n v="21417"/>
    <n v="20967"/>
    <n v="186"/>
    <x v="0"/>
    <x v="1"/>
    <n v="0.13493953401503478"/>
  </r>
  <r>
    <s v="P133"/>
    <x v="3"/>
    <x v="109"/>
    <x v="4"/>
    <s v="Check out our latest image on facebook!"/>
    <n v="2072"/>
    <n v="532"/>
    <n v="71"/>
    <n v="37296"/>
    <n v="36467"/>
    <n v="25"/>
    <x v="2"/>
    <x v="3"/>
    <n v="7.172350922350923E-2"/>
  </r>
  <r>
    <s v="P134"/>
    <x v="0"/>
    <x v="110"/>
    <x v="0"/>
    <s v="Check out our latest reel on twitter!"/>
    <n v="3731"/>
    <n v="115"/>
    <n v="135"/>
    <n v="55965"/>
    <n v="55436"/>
    <n v="103"/>
    <x v="2"/>
    <x v="0"/>
    <n v="7.1133744304476013E-2"/>
  </r>
  <r>
    <s v="P135"/>
    <x v="3"/>
    <x v="111"/>
    <x v="1"/>
    <s v="Check out our latest text on facebook!"/>
    <n v="4213"/>
    <n v="253"/>
    <n v="434"/>
    <n v="75834"/>
    <n v="75437"/>
    <n v="272"/>
    <x v="0"/>
    <x v="3"/>
    <n v="6.461481657304112E-2"/>
  </r>
  <r>
    <s v="P136"/>
    <x v="2"/>
    <x v="112"/>
    <x v="1"/>
    <s v="Check out our latest text on instagram!"/>
    <n v="3134"/>
    <n v="888"/>
    <n v="444"/>
    <n v="21938"/>
    <n v="21337"/>
    <n v="130"/>
    <x v="4"/>
    <x v="3"/>
    <n v="0.20357370772176134"/>
  </r>
  <r>
    <s v="P137"/>
    <x v="3"/>
    <x v="31"/>
    <x v="5"/>
    <s v="Check out our latest video on facebook!"/>
    <n v="3008"/>
    <n v="94"/>
    <n v="37"/>
    <n v="15040"/>
    <n v="14639"/>
    <n v="277"/>
    <x v="0"/>
    <x v="4"/>
    <n v="0.20871010638297871"/>
  </r>
  <r>
    <s v="P138"/>
    <x v="0"/>
    <x v="63"/>
    <x v="4"/>
    <s v="Check out our latest image on twitter!"/>
    <n v="305"/>
    <n v="187"/>
    <n v="243"/>
    <n v="4575"/>
    <n v="3704"/>
    <n v="234"/>
    <x v="0"/>
    <x v="2"/>
    <n v="0.16065573770491803"/>
  </r>
  <r>
    <s v="P139"/>
    <x v="1"/>
    <x v="113"/>
    <x v="1"/>
    <s v="Check out our latest text on youtube!"/>
    <n v="2746"/>
    <n v="156"/>
    <n v="203"/>
    <n v="32952"/>
    <n v="32147"/>
    <n v="147"/>
    <x v="4"/>
    <x v="0"/>
    <n v="9.422796795338674E-2"/>
  </r>
  <r>
    <s v="P140"/>
    <x v="3"/>
    <x v="114"/>
    <x v="4"/>
    <s v="Check out our latest image on facebook!"/>
    <n v="2291"/>
    <n v="78"/>
    <n v="485"/>
    <n v="18328"/>
    <n v="18101"/>
    <n v="10"/>
    <x v="4"/>
    <x v="1"/>
    <n v="0.15571802706241816"/>
  </r>
  <r>
    <s v="P140"/>
    <x v="3"/>
    <x v="114"/>
    <x v="4"/>
    <s v="Check out our latest image on facebook!"/>
    <n v="2291"/>
    <n v="78"/>
    <n v="485"/>
    <n v="18328"/>
    <n v="18101"/>
    <n v="10"/>
    <x v="5"/>
    <x v="1"/>
    <n v="0.15571802706241816"/>
  </r>
  <r>
    <s v="P141"/>
    <x v="0"/>
    <x v="115"/>
    <x v="4"/>
    <s v="Check out our latest image on twitter!"/>
    <n v="3170"/>
    <n v="857"/>
    <n v="379"/>
    <n v="19020"/>
    <n v="18559"/>
    <n v="240"/>
    <x v="0"/>
    <x v="4"/>
    <n v="0.2316508937960042"/>
  </r>
  <r>
    <s v="P142"/>
    <x v="1"/>
    <x v="95"/>
    <x v="2"/>
    <s v="Check out our latest story on youtube!"/>
    <n v="2070"/>
    <n v="275"/>
    <n v="386"/>
    <n v="39330"/>
    <n v="38627"/>
    <n v="114"/>
    <x v="0"/>
    <x v="3"/>
    <n v="6.9438087973557078E-2"/>
  </r>
  <r>
    <s v="P143"/>
    <x v="1"/>
    <x v="100"/>
    <x v="3"/>
    <s v="Check out our latest carousel on youtube!"/>
    <n v="80"/>
    <n v="362"/>
    <n v="80"/>
    <n v="1040"/>
    <n v="349"/>
    <n v="117"/>
    <x v="2"/>
    <x v="2"/>
    <n v="0.50192307692307692"/>
  </r>
  <r>
    <s v="P144"/>
    <x v="1"/>
    <x v="69"/>
    <x v="2"/>
    <s v="Check out our latest story on youtube!"/>
    <n v="4929"/>
    <n v="749"/>
    <n v="452"/>
    <n v="93651"/>
    <n v="92810"/>
    <n v="66"/>
    <x v="4"/>
    <x v="3"/>
    <n v="6.5455787978772245E-2"/>
  </r>
  <r>
    <s v="P145"/>
    <x v="2"/>
    <x v="3"/>
    <x v="3"/>
    <s v="Check out our latest carousel on instagram!"/>
    <n v="1878"/>
    <n v="62"/>
    <n v="179"/>
    <n v="37560"/>
    <n v="36874"/>
    <n v="142"/>
    <x v="2"/>
    <x v="3"/>
    <n v="5.6416400425985093E-2"/>
  </r>
  <r>
    <s v="P146"/>
    <x v="1"/>
    <x v="116"/>
    <x v="0"/>
    <s v="Check out our latest reel on youtube!"/>
    <n v="3065"/>
    <n v="772"/>
    <n v="142"/>
    <n v="18390"/>
    <n v="17875"/>
    <n v="200"/>
    <x v="4"/>
    <x v="4"/>
    <n v="0.21636759108210984"/>
  </r>
  <r>
    <s v="P146"/>
    <x v="1"/>
    <x v="116"/>
    <x v="0"/>
    <s v="Check out our latest reel on youtube!"/>
    <n v="3065"/>
    <n v="772"/>
    <n v="142"/>
    <n v="18390"/>
    <n v="17875"/>
    <n v="200"/>
    <x v="1"/>
    <x v="4"/>
    <n v="0.21636759108210984"/>
  </r>
  <r>
    <s v="P147"/>
    <x v="2"/>
    <x v="54"/>
    <x v="0"/>
    <s v="Check out our latest reel on instagram!"/>
    <n v="3256"/>
    <n v="459"/>
    <n v="266"/>
    <n v="26048"/>
    <n v="25529"/>
    <n v="143"/>
    <x v="2"/>
    <x v="1"/>
    <n v="0.15283323095823095"/>
  </r>
  <r>
    <s v="P148"/>
    <x v="2"/>
    <x v="55"/>
    <x v="5"/>
    <s v="Check out our latest video on instagram!"/>
    <n v="4133"/>
    <n v="466"/>
    <n v="327"/>
    <n v="24798"/>
    <n v="24620"/>
    <n v="176"/>
    <x v="4"/>
    <x v="3"/>
    <n v="0.19864505202032423"/>
  </r>
  <r>
    <s v="P149"/>
    <x v="0"/>
    <x v="117"/>
    <x v="5"/>
    <s v="Check out our latest video on twitter!"/>
    <n v="1702"/>
    <n v="750"/>
    <n v="179"/>
    <n v="34040"/>
    <n v="33174"/>
    <n v="76"/>
    <x v="4"/>
    <x v="0"/>
    <n v="7.7291421856639245E-2"/>
  </r>
  <r>
    <s v="P150"/>
    <x v="1"/>
    <x v="118"/>
    <x v="3"/>
    <s v="Check out our latest carousel on youtube!"/>
    <n v="4295"/>
    <n v="853"/>
    <n v="325"/>
    <n v="85900"/>
    <n v="85788"/>
    <n v="290"/>
    <x v="2"/>
    <x v="3"/>
    <n v="6.3713620488940623E-2"/>
  </r>
  <r>
    <s v="P151"/>
    <x v="2"/>
    <x v="62"/>
    <x v="4"/>
    <s v="Check out our latest image on instagram!"/>
    <n v="3559"/>
    <n v="59"/>
    <n v="289"/>
    <n v="35590"/>
    <n v="35105"/>
    <n v="122"/>
    <x v="4"/>
    <x v="0"/>
    <n v="0.10977802753582468"/>
  </r>
  <r>
    <s v="P152"/>
    <x v="3"/>
    <x v="119"/>
    <x v="4"/>
    <s v="Check out our latest image on facebook!"/>
    <n v="4804"/>
    <n v="550"/>
    <n v="270"/>
    <n v="28824"/>
    <n v="28370"/>
    <n v="47"/>
    <x v="4"/>
    <x v="3"/>
    <n v="0.19511518179295032"/>
  </r>
  <r>
    <s v="P153"/>
    <x v="0"/>
    <x v="120"/>
    <x v="5"/>
    <s v="Check out our latest video on twitter!"/>
    <n v="754"/>
    <n v="197"/>
    <n v="257"/>
    <n v="6786"/>
    <n v="6221"/>
    <n v="212"/>
    <x v="2"/>
    <x v="2"/>
    <n v="0.17801355732390214"/>
  </r>
  <r>
    <s v="P154"/>
    <x v="2"/>
    <x v="72"/>
    <x v="3"/>
    <s v="Check out our latest carousel on instagram!"/>
    <n v="985"/>
    <n v="932"/>
    <n v="287"/>
    <n v="6895"/>
    <n v="6757"/>
    <n v="64"/>
    <x v="0"/>
    <x v="3"/>
    <n v="0.31965192168237855"/>
  </r>
  <r>
    <s v="P155"/>
    <x v="1"/>
    <x v="121"/>
    <x v="4"/>
    <s v="Check out our latest image on youtube!"/>
    <n v="2283"/>
    <n v="210"/>
    <n v="130"/>
    <n v="22830"/>
    <n v="22617"/>
    <n v="143"/>
    <x v="0"/>
    <x v="1"/>
    <n v="0.11489268506351293"/>
  </r>
  <r>
    <s v="P156"/>
    <x v="3"/>
    <x v="122"/>
    <x v="3"/>
    <s v="Check out our latest carousel on facebook!"/>
    <n v="3352"/>
    <n v="941"/>
    <n v="482"/>
    <n v="43576"/>
    <n v="43338"/>
    <n v="240"/>
    <x v="0"/>
    <x v="1"/>
    <n v="0.1095786671562328"/>
  </r>
  <r>
    <s v="P157"/>
    <x v="1"/>
    <x v="123"/>
    <x v="2"/>
    <s v="Check out our latest story on youtube!"/>
    <n v="4775"/>
    <n v="173"/>
    <n v="206"/>
    <n v="47750"/>
    <n v="47544"/>
    <n v="187"/>
    <x v="0"/>
    <x v="1"/>
    <n v="0.10793717277486911"/>
  </r>
  <r>
    <s v="P158"/>
    <x v="2"/>
    <x v="124"/>
    <x v="2"/>
    <s v="Check out our latest story on instagram!"/>
    <n v="1762"/>
    <n v="405"/>
    <n v="423"/>
    <n v="22906"/>
    <n v="21925"/>
    <n v="25"/>
    <x v="2"/>
    <x v="0"/>
    <n v="0.11307081114118571"/>
  </r>
  <r>
    <s v="P159"/>
    <x v="3"/>
    <x v="38"/>
    <x v="2"/>
    <s v="Check out our latest story on facebook!"/>
    <n v="2120"/>
    <n v="158"/>
    <n v="488"/>
    <n v="12720"/>
    <n v="12085"/>
    <n v="17"/>
    <x v="0"/>
    <x v="1"/>
    <n v="0.21745283018867925"/>
  </r>
  <r>
    <s v="P160"/>
    <x v="0"/>
    <x v="125"/>
    <x v="5"/>
    <s v="Check out our latest video on twitter!"/>
    <n v="1082"/>
    <n v="209"/>
    <n v="484"/>
    <n v="19476"/>
    <n v="18654"/>
    <n v="20"/>
    <x v="2"/>
    <x v="4"/>
    <n v="9.1137810638734856E-2"/>
  </r>
  <r>
    <s v="P161"/>
    <x v="0"/>
    <x v="126"/>
    <x v="1"/>
    <s v="Check out our latest text on twitter!"/>
    <n v="4671"/>
    <n v="876"/>
    <n v="366"/>
    <n v="51381"/>
    <n v="50565"/>
    <n v="245"/>
    <x v="2"/>
    <x v="3"/>
    <n v="0.11508145034156594"/>
  </r>
  <r>
    <s v="P162"/>
    <x v="3"/>
    <x v="127"/>
    <x v="2"/>
    <s v="Check out our latest story on facebook!"/>
    <n v="3430"/>
    <n v="566"/>
    <n v="164"/>
    <n v="48020"/>
    <n v="47305"/>
    <n v="120"/>
    <x v="0"/>
    <x v="4"/>
    <n v="8.6630570595585168E-2"/>
  </r>
  <r>
    <s v="P163"/>
    <x v="2"/>
    <x v="128"/>
    <x v="4"/>
    <s v="Check out our latest image on instagram!"/>
    <n v="4501"/>
    <n v="375"/>
    <n v="323"/>
    <n v="22505"/>
    <n v="21836"/>
    <n v="132"/>
    <x v="2"/>
    <x v="1"/>
    <n v="0.23101532992668297"/>
  </r>
  <r>
    <s v="P164"/>
    <x v="1"/>
    <x v="21"/>
    <x v="1"/>
    <s v="Check out our latest text on youtube!"/>
    <n v="4934"/>
    <n v="971"/>
    <n v="156"/>
    <n v="39472"/>
    <n v="39025"/>
    <n v="169"/>
    <x v="2"/>
    <x v="3"/>
    <n v="0.15355188488042157"/>
  </r>
  <r>
    <s v="P164"/>
    <x v="1"/>
    <x v="21"/>
    <x v="1"/>
    <s v="Check out our latest text on youtube!"/>
    <n v="4934"/>
    <n v="971"/>
    <n v="156"/>
    <n v="39472"/>
    <n v="39025"/>
    <n v="169"/>
    <x v="1"/>
    <x v="3"/>
    <n v="0.15355188488042157"/>
  </r>
  <r>
    <s v="P165"/>
    <x v="0"/>
    <x v="83"/>
    <x v="1"/>
    <s v="Check out our latest text on twitter!"/>
    <n v="3239"/>
    <n v="43"/>
    <n v="211"/>
    <n v="22673"/>
    <n v="22171"/>
    <n v="230"/>
    <x v="2"/>
    <x v="1"/>
    <n v="0.15405989502933004"/>
  </r>
  <r>
    <s v="P166"/>
    <x v="0"/>
    <x v="13"/>
    <x v="0"/>
    <s v="Check out our latest reel on twitter!"/>
    <n v="1076"/>
    <n v="313"/>
    <n v="306"/>
    <n v="11836"/>
    <n v="11596"/>
    <n v="104"/>
    <x v="0"/>
    <x v="0"/>
    <n v="0.14320716458262928"/>
  </r>
  <r>
    <s v="P167"/>
    <x v="2"/>
    <x v="111"/>
    <x v="1"/>
    <s v="Check out our latest text on instagram!"/>
    <n v="4771"/>
    <n v="818"/>
    <n v="56"/>
    <n v="57252"/>
    <n v="56378"/>
    <n v="150"/>
    <x v="0"/>
    <x v="4"/>
    <n v="9.859917557465242E-2"/>
  </r>
  <r>
    <s v="P168"/>
    <x v="3"/>
    <x v="129"/>
    <x v="1"/>
    <s v="Check out our latest text on facebook!"/>
    <n v="2418"/>
    <n v="754"/>
    <n v="54"/>
    <n v="43524"/>
    <n v="42743"/>
    <n v="182"/>
    <x v="4"/>
    <x v="0"/>
    <n v="7.412002573292896E-2"/>
  </r>
  <r>
    <s v="P169"/>
    <x v="1"/>
    <x v="130"/>
    <x v="5"/>
    <s v="Check out our latest video on youtube!"/>
    <n v="3809"/>
    <n v="273"/>
    <n v="200"/>
    <n v="34281"/>
    <n v="33534"/>
    <n v="83"/>
    <x v="4"/>
    <x v="0"/>
    <n v="0.12490884163239112"/>
  </r>
  <r>
    <s v="P170"/>
    <x v="0"/>
    <x v="131"/>
    <x v="1"/>
    <s v="Check out our latest text on twitter!"/>
    <n v="3577"/>
    <n v="596"/>
    <n v="493"/>
    <n v="67963"/>
    <n v="67839"/>
    <n v="53"/>
    <x v="2"/>
    <x v="2"/>
    <n v="6.8655003457763777E-2"/>
  </r>
  <r>
    <s v="P171"/>
    <x v="1"/>
    <x v="132"/>
    <x v="5"/>
    <s v="Check out our latest video on youtube!"/>
    <n v="1018"/>
    <n v="447"/>
    <n v="332"/>
    <n v="18324"/>
    <n v="18164"/>
    <n v="38"/>
    <x v="0"/>
    <x v="1"/>
    <n v="9.8068107400130972E-2"/>
  </r>
  <r>
    <s v="P172"/>
    <x v="3"/>
    <x v="133"/>
    <x v="3"/>
    <s v="Check out our latest carousel on facebook!"/>
    <n v="3073"/>
    <n v="553"/>
    <n v="174"/>
    <n v="52241"/>
    <n v="51605"/>
    <n v="246"/>
    <x v="4"/>
    <x v="2"/>
    <n v="7.2739802071170159E-2"/>
  </r>
  <r>
    <s v="P173"/>
    <x v="0"/>
    <x v="134"/>
    <x v="5"/>
    <s v="Check out our latest video on twitter!"/>
    <n v="1330"/>
    <n v="925"/>
    <n v="35"/>
    <n v="15960"/>
    <n v="15379"/>
    <n v="229"/>
    <x v="0"/>
    <x v="2"/>
    <n v="0.14348370927318296"/>
  </r>
  <r>
    <s v="P174"/>
    <x v="3"/>
    <x v="56"/>
    <x v="1"/>
    <s v="Check out our latest text on facebook!"/>
    <n v="3828"/>
    <n v="148"/>
    <n v="253"/>
    <n v="30624"/>
    <n v="30229"/>
    <n v="235"/>
    <x v="4"/>
    <x v="4"/>
    <n v="0.13809430512016718"/>
  </r>
  <r>
    <s v="P175"/>
    <x v="2"/>
    <x v="135"/>
    <x v="0"/>
    <s v="Check out our latest reel on instagram!"/>
    <n v="142"/>
    <n v="784"/>
    <n v="183"/>
    <n v="1704"/>
    <n v="995"/>
    <n v="154"/>
    <x v="0"/>
    <x v="3"/>
    <n v="0.6508215962441315"/>
  </r>
  <r>
    <s v="P176"/>
    <x v="3"/>
    <x v="136"/>
    <x v="5"/>
    <s v="Check out our latest video on facebook!"/>
    <n v="3798"/>
    <n v="31"/>
    <n v="279"/>
    <n v="75960"/>
    <n v="75813"/>
    <n v="266"/>
    <x v="2"/>
    <x v="0"/>
    <n v="5.4081095313322801E-2"/>
  </r>
  <r>
    <s v="P177"/>
    <x v="2"/>
    <x v="137"/>
    <x v="3"/>
    <s v="Check out our latest carousel on instagram!"/>
    <n v="3099"/>
    <n v="694"/>
    <n v="171"/>
    <n v="43386"/>
    <n v="42921"/>
    <n v="52"/>
    <x v="2"/>
    <x v="2"/>
    <n v="9.1365878393951966E-2"/>
  </r>
  <r>
    <s v="P178"/>
    <x v="2"/>
    <x v="71"/>
    <x v="5"/>
    <s v="Check out our latest video on instagram!"/>
    <n v="129"/>
    <n v="643"/>
    <n v="136"/>
    <n v="1290"/>
    <n v="839"/>
    <n v="238"/>
    <x v="2"/>
    <x v="3"/>
    <n v="0.70387596899224802"/>
  </r>
  <r>
    <s v="P179"/>
    <x v="3"/>
    <x v="114"/>
    <x v="3"/>
    <s v="Check out our latest carousel on facebook!"/>
    <n v="3796"/>
    <n v="667"/>
    <n v="395"/>
    <n v="64532"/>
    <n v="63550"/>
    <n v="292"/>
    <x v="2"/>
    <x v="4"/>
    <n v="7.5280481001673588E-2"/>
  </r>
  <r>
    <s v="P180"/>
    <x v="1"/>
    <x v="130"/>
    <x v="1"/>
    <s v="Check out our latest text on youtube!"/>
    <n v="3711"/>
    <n v="352"/>
    <n v="290"/>
    <n v="48243"/>
    <n v="47579"/>
    <n v="11"/>
    <x v="2"/>
    <x v="0"/>
    <n v="9.023070704558174E-2"/>
  </r>
  <r>
    <s v="P181"/>
    <x v="1"/>
    <x v="138"/>
    <x v="4"/>
    <s v="Check out our latest image on youtube!"/>
    <n v="606"/>
    <n v="789"/>
    <n v="470"/>
    <n v="7878"/>
    <n v="7389"/>
    <n v="239"/>
    <x v="4"/>
    <x v="2"/>
    <n v="0.23673521198273673"/>
  </r>
  <r>
    <s v="P182"/>
    <x v="3"/>
    <x v="31"/>
    <x v="4"/>
    <s v="Check out our latest image on facebook!"/>
    <n v="4689"/>
    <n v="134"/>
    <n v="403"/>
    <n v="51579"/>
    <n v="50924"/>
    <n v="173"/>
    <x v="2"/>
    <x v="3"/>
    <n v="0.10132030477519921"/>
  </r>
  <r>
    <s v="P183"/>
    <x v="2"/>
    <x v="139"/>
    <x v="2"/>
    <s v="Check out our latest story on instagram!"/>
    <n v="360"/>
    <n v="590"/>
    <n v="393"/>
    <n v="4680"/>
    <n v="4322"/>
    <n v="208"/>
    <x v="0"/>
    <x v="1"/>
    <n v="0.28696581196581195"/>
  </r>
  <r>
    <s v="P184"/>
    <x v="0"/>
    <x v="140"/>
    <x v="4"/>
    <s v="Check out our latest image on twitter!"/>
    <n v="3215"/>
    <n v="960"/>
    <n v="202"/>
    <n v="32150"/>
    <n v="31404"/>
    <n v="251"/>
    <x v="4"/>
    <x v="0"/>
    <n v="0.13614307931570763"/>
  </r>
  <r>
    <s v="P185"/>
    <x v="2"/>
    <x v="141"/>
    <x v="3"/>
    <s v="Check out our latest carousel on instagram!"/>
    <n v="4523"/>
    <n v="61"/>
    <n v="157"/>
    <n v="49753"/>
    <n v="49329"/>
    <n v="71"/>
    <x v="4"/>
    <x v="4"/>
    <n v="9.5290736237010829E-2"/>
  </r>
  <r>
    <s v="P186"/>
    <x v="3"/>
    <x v="125"/>
    <x v="3"/>
    <s v="Check out our latest carousel on facebook!"/>
    <n v="4292"/>
    <n v="51"/>
    <n v="392"/>
    <n v="55796"/>
    <n v="54826"/>
    <n v="264"/>
    <x v="4"/>
    <x v="2"/>
    <n v="8.4862714173059003E-2"/>
  </r>
  <r>
    <s v="P187"/>
    <x v="0"/>
    <x v="142"/>
    <x v="0"/>
    <s v="Check out our latest reel on twitter!"/>
    <n v="1644"/>
    <n v="546"/>
    <n v="150"/>
    <n v="27948"/>
    <n v="27184"/>
    <n v="300"/>
    <x v="4"/>
    <x v="2"/>
    <n v="8.3726921425504502E-2"/>
  </r>
  <r>
    <s v="P188"/>
    <x v="1"/>
    <x v="78"/>
    <x v="0"/>
    <s v="Check out our latest reel on youtube!"/>
    <n v="2728"/>
    <n v="533"/>
    <n v="215"/>
    <n v="40920"/>
    <n v="40816"/>
    <n v="137"/>
    <x v="0"/>
    <x v="1"/>
    <n v="8.4946236559139784E-2"/>
  </r>
  <r>
    <s v="P189"/>
    <x v="3"/>
    <x v="82"/>
    <x v="0"/>
    <s v="Check out our latest reel on facebook!"/>
    <n v="3360"/>
    <n v="525"/>
    <n v="500"/>
    <n v="60480"/>
    <n v="59610"/>
    <n v="192"/>
    <x v="2"/>
    <x v="0"/>
    <n v="7.2503306878306875E-2"/>
  </r>
  <r>
    <s v="P190"/>
    <x v="1"/>
    <x v="143"/>
    <x v="1"/>
    <s v="Check out our latest text on youtube!"/>
    <n v="1963"/>
    <n v="213"/>
    <n v="19"/>
    <n v="39260"/>
    <n v="38771"/>
    <n v="145"/>
    <x v="0"/>
    <x v="4"/>
    <n v="5.5909322465613857E-2"/>
  </r>
  <r>
    <s v="P191"/>
    <x v="1"/>
    <x v="130"/>
    <x v="2"/>
    <s v="Check out our latest story on youtube!"/>
    <n v="4285"/>
    <n v="886"/>
    <n v="376"/>
    <n v="55705"/>
    <n v="55556"/>
    <n v="51"/>
    <x v="0"/>
    <x v="2"/>
    <n v="9.9578134817341346E-2"/>
  </r>
  <r>
    <s v="P192"/>
    <x v="2"/>
    <x v="144"/>
    <x v="5"/>
    <s v="Check out our latest video on instagram!"/>
    <n v="1176"/>
    <n v="464"/>
    <n v="394"/>
    <n v="14112"/>
    <n v="13588"/>
    <n v="272"/>
    <x v="4"/>
    <x v="4"/>
    <n v="0.1441326530612245"/>
  </r>
  <r>
    <s v="P193"/>
    <x v="0"/>
    <x v="145"/>
    <x v="4"/>
    <s v="Check out our latest image on twitter!"/>
    <n v="4858"/>
    <n v="317"/>
    <n v="129"/>
    <n v="53438"/>
    <n v="52687"/>
    <n v="223"/>
    <x v="4"/>
    <x v="2"/>
    <n v="9.9255211647142488E-2"/>
  </r>
  <r>
    <s v="P194"/>
    <x v="1"/>
    <x v="100"/>
    <x v="2"/>
    <s v="Check out our latest story on youtube!"/>
    <n v="4350"/>
    <n v="771"/>
    <n v="7"/>
    <n v="60900"/>
    <n v="60592"/>
    <n v="195"/>
    <x v="4"/>
    <x v="0"/>
    <n v="8.4203612479474554E-2"/>
  </r>
  <r>
    <s v="P195"/>
    <x v="2"/>
    <x v="146"/>
    <x v="3"/>
    <s v="Check out our latest carousel on instagram!"/>
    <n v="914"/>
    <n v="464"/>
    <n v="246"/>
    <n v="11882"/>
    <n v="11500"/>
    <n v="282"/>
    <x v="0"/>
    <x v="3"/>
    <n v="0.13667732704931829"/>
  </r>
  <r>
    <s v="P195"/>
    <x v="2"/>
    <x v="146"/>
    <x v="3"/>
    <s v="Check out our latest carousel on instagram!"/>
    <n v="914"/>
    <n v="464"/>
    <n v="246"/>
    <n v="11882"/>
    <n v="11500"/>
    <n v="282"/>
    <x v="2"/>
    <x v="3"/>
    <n v="0.13667732704931829"/>
  </r>
  <r>
    <s v="P195"/>
    <x v="2"/>
    <x v="146"/>
    <x v="3"/>
    <s v="Check out our latest carousel on instagram!"/>
    <n v="914"/>
    <n v="464"/>
    <n v="246"/>
    <n v="11882"/>
    <n v="11500"/>
    <n v="282"/>
    <x v="1"/>
    <x v="3"/>
    <n v="0.13667732704931829"/>
  </r>
  <r>
    <s v="P196"/>
    <x v="2"/>
    <x v="147"/>
    <x v="1"/>
    <s v="Check out our latest text on instagram!"/>
    <n v="1813"/>
    <n v="623"/>
    <n v="72"/>
    <n v="19943"/>
    <n v="18959"/>
    <n v="85"/>
    <x v="4"/>
    <x v="2"/>
    <n v="0.12575841147269717"/>
  </r>
  <r>
    <s v="P197"/>
    <x v="0"/>
    <x v="122"/>
    <x v="0"/>
    <s v="Check out our latest reel on twitter!"/>
    <n v="4782"/>
    <n v="721"/>
    <n v="82"/>
    <n v="86076"/>
    <n v="85339"/>
    <n v="19"/>
    <x v="4"/>
    <x v="0"/>
    <n v="6.4884520656164318E-2"/>
  </r>
  <r>
    <s v="P198"/>
    <x v="0"/>
    <x v="148"/>
    <x v="4"/>
    <s v="Check out our latest image on twitter!"/>
    <n v="1048"/>
    <n v="374"/>
    <n v="450"/>
    <n v="9432"/>
    <n v="8882"/>
    <n v="158"/>
    <x v="2"/>
    <x v="2"/>
    <n v="0.19847328244274809"/>
  </r>
  <r>
    <s v="P199"/>
    <x v="1"/>
    <x v="34"/>
    <x v="3"/>
    <s v="Check out our latest carousel on youtube!"/>
    <n v="2509"/>
    <n v="324"/>
    <n v="171"/>
    <n v="35126"/>
    <n v="34685"/>
    <n v="277"/>
    <x v="2"/>
    <x v="1"/>
    <n v="8.5520696919660646E-2"/>
  </r>
  <r>
    <s v="P200"/>
    <x v="3"/>
    <x v="149"/>
    <x v="0"/>
    <s v="Check out our latest reel on facebook!"/>
    <n v="3718"/>
    <n v="385"/>
    <n v="310"/>
    <n v="70642"/>
    <n v="69749"/>
    <n v="233"/>
    <x v="2"/>
    <x v="1"/>
    <n v="6.246991874522239E-2"/>
  </r>
  <r>
    <s v="P201"/>
    <x v="0"/>
    <x v="150"/>
    <x v="0"/>
    <s v="Check out our latest reel on twitter!"/>
    <n v="802"/>
    <n v="262"/>
    <n v="244"/>
    <n v="14436"/>
    <n v="14280"/>
    <n v="49"/>
    <x v="4"/>
    <x v="0"/>
    <n v="9.0606816292601824E-2"/>
  </r>
  <r>
    <s v="P202"/>
    <x v="3"/>
    <x v="151"/>
    <x v="4"/>
    <s v="Check out our latest image on facebook!"/>
    <n v="1871"/>
    <n v="252"/>
    <n v="335"/>
    <n v="29936"/>
    <n v="29576"/>
    <n v="288"/>
    <x v="4"/>
    <x v="2"/>
    <n v="8.2108498129342594E-2"/>
  </r>
  <r>
    <s v="P203"/>
    <x v="2"/>
    <x v="152"/>
    <x v="3"/>
    <s v="Check out our latest carousel on instagram!"/>
    <n v="3773"/>
    <n v="299"/>
    <n v="38"/>
    <n v="71687"/>
    <n v="71447"/>
    <n v="286"/>
    <x v="0"/>
    <x v="0"/>
    <n v="5.7332570758993957E-2"/>
  </r>
  <r>
    <s v="P204"/>
    <x v="2"/>
    <x v="120"/>
    <x v="3"/>
    <s v="Check out our latest carousel on instagram!"/>
    <n v="2234"/>
    <n v="653"/>
    <n v="432"/>
    <n v="11170"/>
    <n v="10569"/>
    <n v="198"/>
    <x v="0"/>
    <x v="2"/>
    <n v="0.29713518352730528"/>
  </r>
  <r>
    <s v="P205"/>
    <x v="0"/>
    <x v="110"/>
    <x v="5"/>
    <s v="Check out our latest video on twitter!"/>
    <n v="3820"/>
    <n v="697"/>
    <n v="268"/>
    <n v="45840"/>
    <n v="45631"/>
    <n v="171"/>
    <x v="2"/>
    <x v="3"/>
    <n v="0.1043848167539267"/>
  </r>
  <r>
    <s v="P205"/>
    <x v="0"/>
    <x v="110"/>
    <x v="5"/>
    <s v="Check out our latest video on twitter!"/>
    <n v="3820"/>
    <n v="697"/>
    <n v="268"/>
    <n v="45840"/>
    <n v="45631"/>
    <n v="171"/>
    <x v="5"/>
    <x v="3"/>
    <n v="0.1043848167539267"/>
  </r>
  <r>
    <s v="P206"/>
    <x v="0"/>
    <x v="6"/>
    <x v="1"/>
    <s v="Check out our latest text on twitter!"/>
    <n v="941"/>
    <n v="121"/>
    <n v="458"/>
    <n v="14115"/>
    <n v="13838"/>
    <n v="87"/>
    <x v="4"/>
    <x v="0"/>
    <n v="0.10768685795253277"/>
  </r>
  <r>
    <s v="P207"/>
    <x v="0"/>
    <x v="153"/>
    <x v="3"/>
    <s v="Check out our latest carousel on twitter!"/>
    <n v="4274"/>
    <n v="340"/>
    <n v="281"/>
    <n v="34192"/>
    <n v="33446"/>
    <n v="129"/>
    <x v="2"/>
    <x v="2"/>
    <n v="0.14316214319138981"/>
  </r>
  <r>
    <s v="P207"/>
    <x v="0"/>
    <x v="153"/>
    <x v="3"/>
    <s v="Check out our latest carousel on twitter!"/>
    <n v="4274"/>
    <n v="340"/>
    <n v="281"/>
    <n v="34192"/>
    <n v="33446"/>
    <n v="129"/>
    <x v="5"/>
    <x v="2"/>
    <n v="0.14316214319138981"/>
  </r>
  <r>
    <s v="P208"/>
    <x v="1"/>
    <x v="6"/>
    <x v="5"/>
    <s v="Check out our latest video on youtube!"/>
    <n v="2949"/>
    <n v="476"/>
    <n v="403"/>
    <n v="44235"/>
    <n v="43705"/>
    <n v="135"/>
    <x v="2"/>
    <x v="1"/>
    <n v="8.6537809426924378E-2"/>
  </r>
  <r>
    <s v="P209"/>
    <x v="0"/>
    <x v="154"/>
    <x v="5"/>
    <s v="Check out our latest video on twitter!"/>
    <n v="3160"/>
    <n v="204"/>
    <n v="297"/>
    <n v="44240"/>
    <n v="43666"/>
    <n v="49"/>
    <x v="0"/>
    <x v="3"/>
    <n v="8.2753164556962022E-2"/>
  </r>
  <r>
    <s v="P209"/>
    <x v="0"/>
    <x v="154"/>
    <x v="5"/>
    <s v="Check out our latest video on twitter!"/>
    <n v="3160"/>
    <n v="204"/>
    <n v="297"/>
    <n v="44240"/>
    <n v="43666"/>
    <n v="49"/>
    <x v="1"/>
    <x v="3"/>
    <n v="8.2753164556962022E-2"/>
  </r>
  <r>
    <s v="P210"/>
    <x v="1"/>
    <x v="126"/>
    <x v="4"/>
    <s v="Check out our latest image on youtube!"/>
    <n v="257"/>
    <n v="966"/>
    <n v="398"/>
    <n v="3341"/>
    <n v="2753"/>
    <n v="287"/>
    <x v="0"/>
    <x v="0"/>
    <n v="0.48518407662376534"/>
  </r>
  <r>
    <s v="P211"/>
    <x v="0"/>
    <x v="155"/>
    <x v="3"/>
    <s v="Check out our latest carousel on twitter!"/>
    <n v="2120"/>
    <n v="38"/>
    <n v="212"/>
    <n v="12720"/>
    <n v="12564"/>
    <n v="21"/>
    <x v="0"/>
    <x v="3"/>
    <n v="0.18632075471698112"/>
  </r>
  <r>
    <s v="P212"/>
    <x v="1"/>
    <x v="67"/>
    <x v="5"/>
    <s v="Check out our latest video on youtube!"/>
    <n v="3874"/>
    <n v="884"/>
    <n v="19"/>
    <n v="38740"/>
    <n v="38552"/>
    <n v="219"/>
    <x v="2"/>
    <x v="1"/>
    <n v="0.123309241094476"/>
  </r>
  <r>
    <s v="P213"/>
    <x v="3"/>
    <x v="156"/>
    <x v="3"/>
    <s v="Check out our latest carousel on facebook!"/>
    <n v="2696"/>
    <n v="628"/>
    <n v="443"/>
    <n v="45832"/>
    <n v="45632"/>
    <n v="248"/>
    <x v="4"/>
    <x v="3"/>
    <n v="8.21914819340199E-2"/>
  </r>
  <r>
    <s v="P214"/>
    <x v="2"/>
    <x v="0"/>
    <x v="4"/>
    <s v="Check out our latest image on instagram!"/>
    <n v="521"/>
    <n v="746"/>
    <n v="315"/>
    <n v="4168"/>
    <n v="3399"/>
    <n v="282"/>
    <x v="0"/>
    <x v="1"/>
    <n v="0.37955854126679461"/>
  </r>
  <r>
    <s v="P215"/>
    <x v="3"/>
    <x v="157"/>
    <x v="4"/>
    <s v="Check out our latest image on facebook!"/>
    <n v="4872"/>
    <n v="925"/>
    <n v="176"/>
    <n v="82824"/>
    <n v="82543"/>
    <n v="89"/>
    <x v="4"/>
    <x v="1"/>
    <n v="7.2116777745580993E-2"/>
  </r>
  <r>
    <s v="P216"/>
    <x v="1"/>
    <x v="97"/>
    <x v="2"/>
    <s v="Check out our latest story on youtube!"/>
    <n v="1509"/>
    <n v="88"/>
    <n v="163"/>
    <n v="30180"/>
    <n v="29689"/>
    <n v="119"/>
    <x v="4"/>
    <x v="1"/>
    <n v="5.8316766070245198E-2"/>
  </r>
  <r>
    <s v="P217"/>
    <x v="3"/>
    <x v="130"/>
    <x v="4"/>
    <s v="Check out our latest image on facebook!"/>
    <n v="4606"/>
    <n v="931"/>
    <n v="230"/>
    <n v="92120"/>
    <n v="91440"/>
    <n v="56"/>
    <x v="2"/>
    <x v="4"/>
    <n v="6.2603126356925748E-2"/>
  </r>
  <r>
    <s v="P218"/>
    <x v="3"/>
    <x v="90"/>
    <x v="3"/>
    <s v="Check out our latest carousel on facebook!"/>
    <n v="1869"/>
    <n v="453"/>
    <n v="490"/>
    <n v="14952"/>
    <n v="14309"/>
    <n v="275"/>
    <x v="2"/>
    <x v="3"/>
    <n v="0.18806848582129482"/>
  </r>
  <r>
    <s v="P219"/>
    <x v="0"/>
    <x v="57"/>
    <x v="0"/>
    <s v="Check out our latest reel on twitter!"/>
    <n v="1188"/>
    <n v="470"/>
    <n v="174"/>
    <n v="7128"/>
    <n v="6145"/>
    <n v="270"/>
    <x v="2"/>
    <x v="3"/>
    <n v="0.25701459034792368"/>
  </r>
  <r>
    <s v="P220"/>
    <x v="2"/>
    <x v="151"/>
    <x v="2"/>
    <s v="Check out our latest story on instagram!"/>
    <n v="84"/>
    <n v="897"/>
    <n v="85"/>
    <n v="588"/>
    <n v="8"/>
    <n v="12"/>
    <x v="4"/>
    <x v="4"/>
    <n v="1.8129251700680271"/>
  </r>
  <r>
    <s v="P221"/>
    <x v="3"/>
    <x v="91"/>
    <x v="5"/>
    <s v="Check out our latest video on facebook!"/>
    <n v="4453"/>
    <n v="111"/>
    <n v="420"/>
    <n v="31171"/>
    <n v="30565"/>
    <n v="23"/>
    <x v="2"/>
    <x v="4"/>
    <n v="0.15989220750056141"/>
  </r>
  <r>
    <s v="P222"/>
    <x v="3"/>
    <x v="158"/>
    <x v="0"/>
    <s v="Check out our latest reel on facebook!"/>
    <n v="1814"/>
    <n v="653"/>
    <n v="363"/>
    <n v="25396"/>
    <n v="25286"/>
    <n v="39"/>
    <x v="0"/>
    <x v="0"/>
    <n v="0.11143487163332809"/>
  </r>
  <r>
    <s v="P222"/>
    <x v="3"/>
    <x v="158"/>
    <x v="0"/>
    <s v="Check out our latest reel on facebook!"/>
    <n v="1814"/>
    <n v="653"/>
    <n v="363"/>
    <n v="25396"/>
    <n v="25286"/>
    <n v="39"/>
    <x v="5"/>
    <x v="0"/>
    <n v="0.11143487163332809"/>
  </r>
  <r>
    <s v="P223"/>
    <x v="0"/>
    <x v="129"/>
    <x v="4"/>
    <s v="Check out our latest image on twitter!"/>
    <n v="3338"/>
    <n v="277"/>
    <n v="118"/>
    <n v="60084"/>
    <n v="59842"/>
    <n v="252"/>
    <x v="2"/>
    <x v="4"/>
    <n v="6.2129685107516146E-2"/>
  </r>
  <r>
    <s v="P224"/>
    <x v="3"/>
    <x v="159"/>
    <x v="4"/>
    <s v="Check out our latest image on facebook!"/>
    <n v="602"/>
    <n v="594"/>
    <n v="156"/>
    <n v="4214"/>
    <n v="3363"/>
    <n v="164"/>
    <x v="2"/>
    <x v="2"/>
    <n v="0.32083531086853345"/>
  </r>
  <r>
    <s v="P225"/>
    <x v="0"/>
    <x v="136"/>
    <x v="3"/>
    <s v="Check out our latest carousel on twitter!"/>
    <n v="4672"/>
    <n v="325"/>
    <n v="32"/>
    <n v="88768"/>
    <n v="87833"/>
    <n v="118"/>
    <x v="4"/>
    <x v="4"/>
    <n v="5.6653298485940883E-2"/>
  </r>
  <r>
    <s v="P226"/>
    <x v="2"/>
    <x v="160"/>
    <x v="3"/>
    <s v="Check out our latest carousel on instagram!"/>
    <n v="1741"/>
    <n v="164"/>
    <n v="318"/>
    <n v="8705"/>
    <n v="8272"/>
    <n v="121"/>
    <x v="2"/>
    <x v="4"/>
    <n v="0.25537047673750718"/>
  </r>
  <r>
    <s v="P227"/>
    <x v="2"/>
    <x v="161"/>
    <x v="1"/>
    <s v="Check out our latest text on instagram!"/>
    <n v="246"/>
    <n v="149"/>
    <n v="130"/>
    <n v="4674"/>
    <n v="4390"/>
    <n v="217"/>
    <x v="0"/>
    <x v="2"/>
    <n v="0.11232349165596919"/>
  </r>
  <r>
    <s v="P228"/>
    <x v="2"/>
    <x v="162"/>
    <x v="2"/>
    <s v="Check out our latest story on instagram!"/>
    <n v="4808"/>
    <n v="772"/>
    <n v="320"/>
    <n v="72120"/>
    <n v="71696"/>
    <n v="195"/>
    <x v="4"/>
    <x v="0"/>
    <n v="8.1808097615085965E-2"/>
  </r>
  <r>
    <s v="P229"/>
    <x v="2"/>
    <x v="48"/>
    <x v="3"/>
    <s v="Check out our latest carousel on instagram!"/>
    <n v="4799"/>
    <n v="694"/>
    <n v="289"/>
    <n v="43191"/>
    <n v="42228"/>
    <n v="118"/>
    <x v="2"/>
    <x v="4"/>
    <n v="0.13387048227640017"/>
  </r>
  <r>
    <s v="P230"/>
    <x v="3"/>
    <x v="114"/>
    <x v="0"/>
    <s v="Check out our latest reel on facebook!"/>
    <n v="3663"/>
    <n v="17"/>
    <n v="295"/>
    <n v="51282"/>
    <n v="50567"/>
    <n v="84"/>
    <x v="4"/>
    <x v="2"/>
    <n v="7.7512577512577507E-2"/>
  </r>
  <r>
    <s v="P231"/>
    <x v="2"/>
    <x v="156"/>
    <x v="1"/>
    <s v="Check out our latest text on instagram!"/>
    <n v="1430"/>
    <n v="376"/>
    <n v="33"/>
    <n v="21450"/>
    <n v="20509"/>
    <n v="251"/>
    <x v="0"/>
    <x v="0"/>
    <n v="8.5734265734265735E-2"/>
  </r>
  <r>
    <s v="P232"/>
    <x v="0"/>
    <x v="163"/>
    <x v="2"/>
    <s v="Check out our latest story on twitter!"/>
    <n v="249"/>
    <n v="592"/>
    <n v="230"/>
    <n v="1494"/>
    <n v="1044"/>
    <n v="201"/>
    <x v="4"/>
    <x v="3"/>
    <n v="0.7168674698795181"/>
  </r>
  <r>
    <s v="P233"/>
    <x v="3"/>
    <x v="40"/>
    <x v="4"/>
    <s v="Check out our latest image on facebook!"/>
    <n v="2382"/>
    <n v="265"/>
    <n v="134"/>
    <n v="38112"/>
    <n v="37437"/>
    <n v="249"/>
    <x v="0"/>
    <x v="3"/>
    <n v="7.2969143576826198E-2"/>
  </r>
  <r>
    <s v="P234"/>
    <x v="3"/>
    <x v="164"/>
    <x v="1"/>
    <s v="Check out our latest text on facebook!"/>
    <n v="1272"/>
    <n v="465"/>
    <n v="99"/>
    <n v="24168"/>
    <n v="23719"/>
    <n v="42"/>
    <x v="2"/>
    <x v="4"/>
    <n v="7.5968222442899705E-2"/>
  </r>
  <r>
    <s v="P235"/>
    <x v="3"/>
    <x v="142"/>
    <x v="4"/>
    <s v="Check out our latest image on facebook!"/>
    <n v="3196"/>
    <n v="941"/>
    <n v="376"/>
    <n v="35156"/>
    <n v="34444"/>
    <n v="241"/>
    <x v="2"/>
    <x v="2"/>
    <n v="0.1283706906360223"/>
  </r>
  <r>
    <s v="P236"/>
    <x v="3"/>
    <x v="17"/>
    <x v="1"/>
    <s v="Check out our latest text on facebook!"/>
    <n v="1257"/>
    <n v="19"/>
    <n v="351"/>
    <n v="12570"/>
    <n v="11660"/>
    <n v="194"/>
    <x v="0"/>
    <x v="1"/>
    <n v="0.12943516308671441"/>
  </r>
  <r>
    <s v="P236"/>
    <x v="3"/>
    <x v="17"/>
    <x v="1"/>
    <s v="Check out our latest text on facebook!"/>
    <n v="1257"/>
    <n v="19"/>
    <n v="351"/>
    <n v="12570"/>
    <n v="11660"/>
    <n v="194"/>
    <x v="1"/>
    <x v="1"/>
    <n v="0.12943516308671441"/>
  </r>
  <r>
    <s v="P236"/>
    <x v="3"/>
    <x v="17"/>
    <x v="1"/>
    <s v="Check out our latest text on facebook!"/>
    <n v="1257"/>
    <n v="19"/>
    <n v="351"/>
    <n v="12570"/>
    <n v="11660"/>
    <n v="194"/>
    <x v="4"/>
    <x v="1"/>
    <n v="0.12943516308671441"/>
  </r>
  <r>
    <s v="P237"/>
    <x v="2"/>
    <x v="122"/>
    <x v="2"/>
    <s v="Check out our latest story on instagram!"/>
    <n v="3770"/>
    <n v="917"/>
    <n v="129"/>
    <n v="71630"/>
    <n v="71322"/>
    <n v="76"/>
    <x v="0"/>
    <x v="0"/>
    <n v="6.7234398994834563E-2"/>
  </r>
  <r>
    <s v="P238"/>
    <x v="0"/>
    <x v="165"/>
    <x v="1"/>
    <s v="Check out our latest text on twitter!"/>
    <n v="4725"/>
    <n v="400"/>
    <n v="362"/>
    <n v="75600"/>
    <n v="74927"/>
    <n v="43"/>
    <x v="0"/>
    <x v="3"/>
    <n v="7.2579365079365077E-2"/>
  </r>
  <r>
    <s v="P239"/>
    <x v="1"/>
    <x v="46"/>
    <x v="1"/>
    <s v="Check out our latest text on youtube!"/>
    <n v="4188"/>
    <n v="942"/>
    <n v="118"/>
    <n v="20940"/>
    <n v="20471"/>
    <n v="102"/>
    <x v="0"/>
    <x v="4"/>
    <n v="0.25062082139446035"/>
  </r>
  <r>
    <s v="P240"/>
    <x v="0"/>
    <x v="15"/>
    <x v="3"/>
    <s v="Check out our latest carousel on twitter!"/>
    <n v="929"/>
    <n v="192"/>
    <n v="322"/>
    <n v="16722"/>
    <n v="15996"/>
    <n v="145"/>
    <x v="4"/>
    <x v="2"/>
    <n v="8.6293505561535699E-2"/>
  </r>
  <r>
    <s v="P240"/>
    <x v="0"/>
    <x v="15"/>
    <x v="3"/>
    <s v="Check out our latest carousel on twitter!"/>
    <n v="929"/>
    <n v="192"/>
    <n v="322"/>
    <n v="16722"/>
    <n v="15996"/>
    <n v="145"/>
    <x v="2"/>
    <x v="2"/>
    <n v="8.6293505561535699E-2"/>
  </r>
  <r>
    <s v="P240"/>
    <x v="0"/>
    <x v="15"/>
    <x v="3"/>
    <s v="Check out our latest carousel on twitter!"/>
    <n v="929"/>
    <n v="192"/>
    <n v="322"/>
    <n v="16722"/>
    <n v="15996"/>
    <n v="145"/>
    <x v="1"/>
    <x v="2"/>
    <n v="8.6293505561535699E-2"/>
  </r>
  <r>
    <s v="P241"/>
    <x v="3"/>
    <x v="166"/>
    <x v="2"/>
    <s v="Check out our latest story on facebook!"/>
    <n v="4321"/>
    <n v="874"/>
    <n v="172"/>
    <n v="30247"/>
    <n v="29254"/>
    <n v="122"/>
    <x v="2"/>
    <x v="3"/>
    <n v="0.17743908486792079"/>
  </r>
  <r>
    <s v="P242"/>
    <x v="3"/>
    <x v="79"/>
    <x v="0"/>
    <s v="Check out our latest reel on facebook!"/>
    <n v="4767"/>
    <n v="190"/>
    <n v="340"/>
    <n v="28602"/>
    <n v="28044"/>
    <n v="210"/>
    <x v="4"/>
    <x v="2"/>
    <n v="0.18519683938186141"/>
  </r>
  <r>
    <s v="P243"/>
    <x v="0"/>
    <x v="167"/>
    <x v="4"/>
    <s v="Check out our latest image on twitter!"/>
    <n v="3592"/>
    <n v="911"/>
    <n v="375"/>
    <n v="50288"/>
    <n v="49490"/>
    <n v="32"/>
    <x v="0"/>
    <x v="3"/>
    <n v="9.7001272669424113E-2"/>
  </r>
  <r>
    <s v="P244"/>
    <x v="1"/>
    <x v="168"/>
    <x v="5"/>
    <s v="Check out our latest video on youtube!"/>
    <n v="4661"/>
    <n v="935"/>
    <n v="433"/>
    <n v="23305"/>
    <n v="22583"/>
    <n v="63"/>
    <x v="0"/>
    <x v="2"/>
    <n v="0.25869984981763572"/>
  </r>
  <r>
    <s v="P245"/>
    <x v="3"/>
    <x v="169"/>
    <x v="0"/>
    <s v="Check out our latest reel on facebook!"/>
    <n v="4134"/>
    <n v="824"/>
    <n v="99"/>
    <n v="41340"/>
    <n v="41050"/>
    <n v="177"/>
    <x v="4"/>
    <x v="0"/>
    <n v="0.12232704402515723"/>
  </r>
  <r>
    <s v="P246"/>
    <x v="3"/>
    <x v="170"/>
    <x v="4"/>
    <s v="Check out our latest image on facebook!"/>
    <n v="400"/>
    <n v="680"/>
    <n v="434"/>
    <n v="6400"/>
    <n v="5472"/>
    <n v="160"/>
    <x v="0"/>
    <x v="1"/>
    <n v="0.23656250000000001"/>
  </r>
  <r>
    <s v="P247"/>
    <x v="3"/>
    <x v="171"/>
    <x v="0"/>
    <s v="Check out our latest reel on facebook!"/>
    <n v="3960"/>
    <n v="266"/>
    <n v="8"/>
    <n v="35640"/>
    <n v="34850"/>
    <n v="208"/>
    <x v="0"/>
    <x v="4"/>
    <n v="0.11879910213243547"/>
  </r>
  <r>
    <s v="P247"/>
    <x v="3"/>
    <x v="171"/>
    <x v="0"/>
    <s v="Check out our latest reel on facebook!"/>
    <n v="3960"/>
    <n v="266"/>
    <n v="8"/>
    <n v="35640"/>
    <n v="34850"/>
    <n v="208"/>
    <x v="4"/>
    <x v="4"/>
    <n v="0.11879910213243547"/>
  </r>
  <r>
    <s v="P247"/>
    <x v="3"/>
    <x v="171"/>
    <x v="0"/>
    <s v="Check out our latest reel on facebook!"/>
    <n v="3960"/>
    <n v="266"/>
    <n v="8"/>
    <n v="35640"/>
    <n v="34850"/>
    <n v="208"/>
    <x v="3"/>
    <x v="4"/>
    <n v="0.11879910213243547"/>
  </r>
  <r>
    <s v="P248"/>
    <x v="3"/>
    <x v="10"/>
    <x v="2"/>
    <s v="Check out our latest story on facebook!"/>
    <n v="886"/>
    <n v="126"/>
    <n v="153"/>
    <n v="4430"/>
    <n v="4037"/>
    <n v="212"/>
    <x v="4"/>
    <x v="4"/>
    <n v="0.26297968397291194"/>
  </r>
  <r>
    <s v="P249"/>
    <x v="0"/>
    <x v="155"/>
    <x v="4"/>
    <s v="Check out our latest image on twitter!"/>
    <n v="827"/>
    <n v="77"/>
    <n v="402"/>
    <n v="14886"/>
    <n v="14129"/>
    <n v="254"/>
    <x v="4"/>
    <x v="1"/>
    <n v="8.7733440816874911E-2"/>
  </r>
  <r>
    <s v="P250"/>
    <x v="3"/>
    <x v="56"/>
    <x v="0"/>
    <s v="Check out our latest reel on facebook!"/>
    <n v="3813"/>
    <n v="935"/>
    <n v="274"/>
    <n v="68634"/>
    <n v="68488"/>
    <n v="251"/>
    <x v="0"/>
    <x v="4"/>
    <n v="7.3170731707317069E-2"/>
  </r>
  <r>
    <s v="P251"/>
    <x v="2"/>
    <x v="172"/>
    <x v="3"/>
    <s v="Check out our latest carousel on instagram!"/>
    <n v="1377"/>
    <n v="796"/>
    <n v="387"/>
    <n v="22032"/>
    <n v="21869"/>
    <n v="189"/>
    <x v="0"/>
    <x v="4"/>
    <n v="0.11619462599854757"/>
  </r>
  <r>
    <s v="P252"/>
    <x v="3"/>
    <x v="131"/>
    <x v="3"/>
    <s v="Check out our latest carousel on facebook!"/>
    <n v="2089"/>
    <n v="476"/>
    <n v="69"/>
    <n v="16712"/>
    <n v="16309"/>
    <n v="64"/>
    <x v="0"/>
    <x v="2"/>
    <n v="0.15761129727142173"/>
  </r>
  <r>
    <s v="P253"/>
    <x v="0"/>
    <x v="173"/>
    <x v="0"/>
    <s v="Check out our latest reel on twitter!"/>
    <n v="3791"/>
    <n v="593"/>
    <n v="228"/>
    <n v="53074"/>
    <n v="52613"/>
    <n v="205"/>
    <x v="4"/>
    <x v="4"/>
    <n v="8.6897539284772202E-2"/>
  </r>
  <r>
    <s v="P254"/>
    <x v="0"/>
    <x v="174"/>
    <x v="4"/>
    <s v="Check out our latest image on twitter!"/>
    <n v="2692"/>
    <n v="115"/>
    <n v="64"/>
    <n v="21536"/>
    <n v="21120"/>
    <n v="224"/>
    <x v="0"/>
    <x v="1"/>
    <n v="0.13331166419019316"/>
  </r>
  <r>
    <s v="P255"/>
    <x v="3"/>
    <x v="1"/>
    <x v="2"/>
    <s v="Check out our latest story on facebook!"/>
    <n v="3767"/>
    <n v="514"/>
    <n v="238"/>
    <n v="37670"/>
    <n v="36807"/>
    <n v="226"/>
    <x v="0"/>
    <x v="3"/>
    <n v="0.11996283514733209"/>
  </r>
  <r>
    <s v="P256"/>
    <x v="1"/>
    <x v="89"/>
    <x v="3"/>
    <s v="Check out our latest carousel on youtube!"/>
    <n v="2143"/>
    <n v="12"/>
    <n v="204"/>
    <n v="40717"/>
    <n v="40125"/>
    <n v="248"/>
    <x v="4"/>
    <x v="1"/>
    <n v="5.7936488444630008E-2"/>
  </r>
  <r>
    <s v="P257"/>
    <x v="3"/>
    <x v="106"/>
    <x v="4"/>
    <s v="Check out our latest image on facebook!"/>
    <n v="3090"/>
    <n v="697"/>
    <n v="164"/>
    <n v="49440"/>
    <n v="48524"/>
    <n v="25"/>
    <x v="4"/>
    <x v="1"/>
    <n v="7.9915048543689318E-2"/>
  </r>
  <r>
    <s v="P257"/>
    <x v="3"/>
    <x v="106"/>
    <x v="4"/>
    <s v="Check out our latest image on facebook!"/>
    <n v="3090"/>
    <n v="697"/>
    <n v="164"/>
    <n v="49440"/>
    <n v="48524"/>
    <n v="25"/>
    <x v="4"/>
    <x v="1"/>
    <n v="7.9915048543689318E-2"/>
  </r>
  <r>
    <s v="P257"/>
    <x v="3"/>
    <x v="106"/>
    <x v="4"/>
    <s v="Check out our latest image on facebook!"/>
    <n v="3090"/>
    <n v="697"/>
    <n v="164"/>
    <n v="49440"/>
    <n v="48524"/>
    <n v="25"/>
    <x v="3"/>
    <x v="1"/>
    <n v="7.9915048543689318E-2"/>
  </r>
  <r>
    <s v="P258"/>
    <x v="2"/>
    <x v="175"/>
    <x v="2"/>
    <s v="Check out our latest story on instagram!"/>
    <n v="3601"/>
    <n v="695"/>
    <n v="75"/>
    <n v="21606"/>
    <n v="21454"/>
    <n v="172"/>
    <x v="4"/>
    <x v="1"/>
    <n v="0.2023049153013052"/>
  </r>
  <r>
    <s v="P259"/>
    <x v="3"/>
    <x v="88"/>
    <x v="1"/>
    <s v="Check out our latest text on facebook!"/>
    <n v="562"/>
    <n v="158"/>
    <n v="149"/>
    <n v="3372"/>
    <n v="2940"/>
    <n v="93"/>
    <x v="2"/>
    <x v="0"/>
    <n v="0.25771055753262156"/>
  </r>
  <r>
    <s v="P260"/>
    <x v="2"/>
    <x v="176"/>
    <x v="2"/>
    <s v="Check out our latest story on instagram!"/>
    <n v="4332"/>
    <n v="771"/>
    <n v="219"/>
    <n v="60648"/>
    <n v="60397"/>
    <n v="10"/>
    <x v="2"/>
    <x v="2"/>
    <n v="8.7752275425405618E-2"/>
  </r>
  <r>
    <s v="P260"/>
    <x v="2"/>
    <x v="176"/>
    <x v="2"/>
    <s v="Check out our latest story on instagram!"/>
    <n v="4332"/>
    <n v="771"/>
    <n v="219"/>
    <n v="60648"/>
    <n v="60397"/>
    <n v="10"/>
    <x v="4"/>
    <x v="2"/>
    <n v="8.7752275425405618E-2"/>
  </r>
  <r>
    <s v="P260"/>
    <x v="2"/>
    <x v="176"/>
    <x v="2"/>
    <s v="Check out our latest story on instagram!"/>
    <n v="4332"/>
    <n v="771"/>
    <n v="219"/>
    <n v="60648"/>
    <n v="60397"/>
    <n v="10"/>
    <x v="3"/>
    <x v="2"/>
    <n v="8.7752275425405618E-2"/>
  </r>
  <r>
    <s v="P261"/>
    <x v="2"/>
    <x v="177"/>
    <x v="4"/>
    <s v="Check out our latest image on instagram!"/>
    <n v="4853"/>
    <n v="837"/>
    <n v="340"/>
    <n v="72795"/>
    <n v="72237"/>
    <n v="170"/>
    <x v="4"/>
    <x v="0"/>
    <n v="8.2835359571399134E-2"/>
  </r>
  <r>
    <s v="P262"/>
    <x v="1"/>
    <x v="166"/>
    <x v="4"/>
    <s v="Check out our latest image on youtube!"/>
    <n v="1206"/>
    <n v="238"/>
    <n v="36"/>
    <n v="9648"/>
    <n v="9417"/>
    <n v="237"/>
    <x v="2"/>
    <x v="4"/>
    <n v="0.15339966832504145"/>
  </r>
  <r>
    <s v="P263"/>
    <x v="2"/>
    <x v="178"/>
    <x v="0"/>
    <s v="Check out our latest reel on instagram!"/>
    <n v="2603"/>
    <n v="690"/>
    <n v="205"/>
    <n v="13015"/>
    <n v="12130"/>
    <n v="20"/>
    <x v="0"/>
    <x v="1"/>
    <n v="0.26876680752977333"/>
  </r>
  <r>
    <s v="P264"/>
    <x v="0"/>
    <x v="179"/>
    <x v="4"/>
    <s v="Check out our latest image on twitter!"/>
    <n v="59"/>
    <n v="163"/>
    <n v="93"/>
    <n v="590"/>
    <n v="475"/>
    <n v="293"/>
    <x v="2"/>
    <x v="1"/>
    <n v="0.53389830508474578"/>
  </r>
  <r>
    <s v="P265"/>
    <x v="0"/>
    <x v="180"/>
    <x v="3"/>
    <s v="Check out our latest carousel on twitter!"/>
    <n v="1877"/>
    <n v="745"/>
    <n v="225"/>
    <n v="11262"/>
    <n v="10967"/>
    <n v="41"/>
    <x v="4"/>
    <x v="3"/>
    <n v="0.25279701651571657"/>
  </r>
  <r>
    <s v="P266"/>
    <x v="3"/>
    <x v="38"/>
    <x v="2"/>
    <s v="Check out our latest story on facebook!"/>
    <n v="4182"/>
    <n v="640"/>
    <n v="240"/>
    <n v="50184"/>
    <n v="49351"/>
    <n v="10"/>
    <x v="2"/>
    <x v="2"/>
    <n v="0.10086880280567512"/>
  </r>
  <r>
    <s v="P267"/>
    <x v="0"/>
    <x v="143"/>
    <x v="0"/>
    <s v="Check out our latest reel on twitter!"/>
    <n v="4187"/>
    <n v="66"/>
    <n v="31"/>
    <n v="66992"/>
    <n v="66614"/>
    <n v="62"/>
    <x v="0"/>
    <x v="4"/>
    <n v="6.3947934081681396E-2"/>
  </r>
  <r>
    <s v="P268"/>
    <x v="2"/>
    <x v="181"/>
    <x v="0"/>
    <s v="Check out our latest reel on instagram!"/>
    <n v="4579"/>
    <n v="125"/>
    <n v="300"/>
    <n v="59527"/>
    <n v="59400"/>
    <n v="269"/>
    <x v="4"/>
    <x v="0"/>
    <n v="8.4062694239588759E-2"/>
  </r>
  <r>
    <s v="P269"/>
    <x v="2"/>
    <x v="182"/>
    <x v="5"/>
    <s v="Check out our latest video on instagram!"/>
    <n v="4561"/>
    <n v="51"/>
    <n v="441"/>
    <n v="22805"/>
    <n v="21890"/>
    <n v="45"/>
    <x v="2"/>
    <x v="1"/>
    <n v="0.22157421618066214"/>
  </r>
  <r>
    <s v="P270"/>
    <x v="1"/>
    <x v="150"/>
    <x v="0"/>
    <s v="Check out our latest reel on youtube!"/>
    <n v="3774"/>
    <n v="239"/>
    <n v="39"/>
    <n v="60384"/>
    <n v="59490"/>
    <n v="241"/>
    <x v="2"/>
    <x v="2"/>
    <n v="6.7103868574456813E-2"/>
  </r>
  <r>
    <s v="P271"/>
    <x v="2"/>
    <x v="183"/>
    <x v="5"/>
    <s v="Check out our latest video on instagram!"/>
    <n v="3575"/>
    <n v="749"/>
    <n v="111"/>
    <n v="21450"/>
    <n v="20785"/>
    <n v="195"/>
    <x v="4"/>
    <x v="1"/>
    <n v="0.20675990675990677"/>
  </r>
  <r>
    <s v="P272"/>
    <x v="2"/>
    <x v="172"/>
    <x v="1"/>
    <s v="Check out our latest text on instagram!"/>
    <n v="4941"/>
    <n v="414"/>
    <n v="266"/>
    <n v="39528"/>
    <n v="39154"/>
    <n v="217"/>
    <x v="2"/>
    <x v="2"/>
    <n v="0.14220299534507186"/>
  </r>
  <r>
    <s v="P273"/>
    <x v="1"/>
    <x v="184"/>
    <x v="2"/>
    <s v="Check out our latest story on youtube!"/>
    <n v="3641"/>
    <n v="226"/>
    <n v="46"/>
    <n v="40051"/>
    <n v="39319"/>
    <n v="296"/>
    <x v="4"/>
    <x v="3"/>
    <n v="9.7700431949264685E-2"/>
  </r>
  <r>
    <s v="P274"/>
    <x v="0"/>
    <x v="120"/>
    <x v="3"/>
    <s v="Check out our latest carousel on twitter!"/>
    <n v="3535"/>
    <n v="494"/>
    <n v="152"/>
    <n v="53025"/>
    <n v="52791"/>
    <n v="44"/>
    <x v="2"/>
    <x v="3"/>
    <n v="7.8849599245638849E-2"/>
  </r>
  <r>
    <s v="P275"/>
    <x v="3"/>
    <x v="175"/>
    <x v="0"/>
    <s v="Check out our latest reel on facebook!"/>
    <n v="1741"/>
    <n v="831"/>
    <n v="345"/>
    <n v="17410"/>
    <n v="16844"/>
    <n v="58"/>
    <x v="4"/>
    <x v="2"/>
    <n v="0.16754738655944859"/>
  </r>
  <r>
    <s v="P276"/>
    <x v="0"/>
    <x v="185"/>
    <x v="3"/>
    <s v="Check out our latest carousel on twitter!"/>
    <n v="1556"/>
    <n v="195"/>
    <n v="131"/>
    <n v="9336"/>
    <n v="8875"/>
    <n v="137"/>
    <x v="2"/>
    <x v="1"/>
    <n v="0.2015852613538989"/>
  </r>
  <r>
    <s v="P277"/>
    <x v="3"/>
    <x v="106"/>
    <x v="4"/>
    <s v="Check out our latest image on facebook!"/>
    <n v="4236"/>
    <n v="711"/>
    <n v="298"/>
    <n v="21180"/>
    <n v="20516"/>
    <n v="238"/>
    <x v="0"/>
    <x v="0"/>
    <n v="0.24763928234183191"/>
  </r>
  <r>
    <s v="P278"/>
    <x v="0"/>
    <x v="186"/>
    <x v="1"/>
    <s v="Check out our latest text on twitter!"/>
    <n v="4516"/>
    <n v="836"/>
    <n v="169"/>
    <n v="49676"/>
    <n v="49257"/>
    <n v="282"/>
    <x v="4"/>
    <x v="3"/>
    <n v="0.11114018842096787"/>
  </r>
  <r>
    <s v="P279"/>
    <x v="1"/>
    <x v="66"/>
    <x v="4"/>
    <s v="Check out our latest image on youtube!"/>
    <n v="4905"/>
    <n v="845"/>
    <n v="129"/>
    <n v="98100"/>
    <n v="97772"/>
    <n v="279"/>
    <x v="2"/>
    <x v="1"/>
    <n v="5.9928644240570844E-2"/>
  </r>
  <r>
    <s v="P280"/>
    <x v="1"/>
    <x v="54"/>
    <x v="5"/>
    <s v="Check out our latest video on youtube!"/>
    <n v="4275"/>
    <n v="680"/>
    <n v="385"/>
    <n v="64125"/>
    <n v="63650"/>
    <n v="104"/>
    <x v="4"/>
    <x v="3"/>
    <n v="8.3274853801169585E-2"/>
  </r>
  <r>
    <s v="P280"/>
    <x v="1"/>
    <x v="54"/>
    <x v="5"/>
    <s v="Check out our latest video on youtube!"/>
    <n v="4275"/>
    <n v="680"/>
    <n v="385"/>
    <n v="64125"/>
    <n v="63650"/>
    <n v="104"/>
    <x v="2"/>
    <x v="3"/>
    <n v="8.3274853801169585E-2"/>
  </r>
  <r>
    <s v="P280"/>
    <x v="1"/>
    <x v="54"/>
    <x v="5"/>
    <s v="Check out our latest video on youtube!"/>
    <n v="4275"/>
    <n v="680"/>
    <n v="385"/>
    <n v="64125"/>
    <n v="63650"/>
    <n v="104"/>
    <x v="1"/>
    <x v="3"/>
    <n v="8.3274853801169585E-2"/>
  </r>
  <r>
    <s v="P281"/>
    <x v="1"/>
    <x v="187"/>
    <x v="4"/>
    <s v="Check out our latest image on youtube!"/>
    <n v="3166"/>
    <n v="90"/>
    <n v="341"/>
    <n v="56988"/>
    <n v="56125"/>
    <n v="135"/>
    <x v="4"/>
    <x v="1"/>
    <n v="6.3118551273952411E-2"/>
  </r>
  <r>
    <s v="P282"/>
    <x v="2"/>
    <x v="188"/>
    <x v="5"/>
    <s v="Check out our latest video on instagram!"/>
    <n v="1488"/>
    <n v="417"/>
    <n v="168"/>
    <n v="19344"/>
    <n v="18395"/>
    <n v="30"/>
    <x v="0"/>
    <x v="2"/>
    <n v="0.1071650124069479"/>
  </r>
  <r>
    <s v="P283"/>
    <x v="0"/>
    <x v="189"/>
    <x v="0"/>
    <s v="Check out our latest reel on twitter!"/>
    <n v="3367"/>
    <n v="302"/>
    <n v="57"/>
    <n v="63973"/>
    <n v="63789"/>
    <n v="157"/>
    <x v="0"/>
    <x v="1"/>
    <n v="5.8243321401216137E-2"/>
  </r>
  <r>
    <s v="P284"/>
    <x v="0"/>
    <x v="26"/>
    <x v="1"/>
    <s v="Check out our latest text on twitter!"/>
    <n v="571"/>
    <n v="190"/>
    <n v="352"/>
    <n v="9707"/>
    <n v="9418"/>
    <n v="231"/>
    <x v="2"/>
    <x v="3"/>
    <n v="0.11465952405480581"/>
  </r>
  <r>
    <s v="P285"/>
    <x v="1"/>
    <x v="155"/>
    <x v="1"/>
    <s v="Check out our latest text on youtube!"/>
    <n v="4021"/>
    <n v="794"/>
    <n v="77"/>
    <n v="36189"/>
    <n v="35505"/>
    <n v="174"/>
    <x v="4"/>
    <x v="4"/>
    <n v="0.13517919809886983"/>
  </r>
  <r>
    <s v="P286"/>
    <x v="1"/>
    <x v="190"/>
    <x v="5"/>
    <s v="Check out our latest video on youtube!"/>
    <n v="3389"/>
    <n v="344"/>
    <n v="229"/>
    <n v="20334"/>
    <n v="19443"/>
    <n v="228"/>
    <x v="0"/>
    <x v="2"/>
    <n v="0.19484607062063539"/>
  </r>
  <r>
    <s v="P287"/>
    <x v="2"/>
    <x v="146"/>
    <x v="0"/>
    <s v="Check out our latest reel on instagram!"/>
    <n v="1164"/>
    <n v="616"/>
    <n v="324"/>
    <n v="6984"/>
    <n v="6636"/>
    <n v="82"/>
    <x v="4"/>
    <x v="0"/>
    <n v="0.30126002290950743"/>
  </r>
  <r>
    <s v="P288"/>
    <x v="1"/>
    <x v="191"/>
    <x v="3"/>
    <s v="Check out our latest carousel on youtube!"/>
    <n v="4780"/>
    <n v="691"/>
    <n v="380"/>
    <n v="86040"/>
    <n v="85743"/>
    <n v="262"/>
    <x v="0"/>
    <x v="2"/>
    <n v="6.800325430032543E-2"/>
  </r>
  <r>
    <s v="P289"/>
    <x v="3"/>
    <x v="111"/>
    <x v="3"/>
    <s v="Check out our latest carousel on facebook!"/>
    <n v="2751"/>
    <n v="33"/>
    <n v="430"/>
    <n v="44016"/>
    <n v="43415"/>
    <n v="129"/>
    <x v="0"/>
    <x v="4"/>
    <n v="7.3018902217375503E-2"/>
  </r>
  <r>
    <s v="P290"/>
    <x v="2"/>
    <x v="192"/>
    <x v="3"/>
    <s v="Check out our latest carousel on instagram!"/>
    <n v="2107"/>
    <n v="550"/>
    <n v="349"/>
    <n v="35819"/>
    <n v="35340"/>
    <n v="191"/>
    <x v="4"/>
    <x v="3"/>
    <n v="8.3921940869371006E-2"/>
  </r>
  <r>
    <s v="P291"/>
    <x v="3"/>
    <x v="22"/>
    <x v="5"/>
    <s v="Check out our latest video on facebook!"/>
    <n v="4663"/>
    <n v="145"/>
    <n v="225"/>
    <n v="69945"/>
    <n v="69596"/>
    <n v="35"/>
    <x v="4"/>
    <x v="3"/>
    <n v="7.1956537279290869E-2"/>
  </r>
  <r>
    <s v="P292"/>
    <x v="3"/>
    <x v="193"/>
    <x v="1"/>
    <s v="Check out our latest text on facebook!"/>
    <n v="880"/>
    <n v="297"/>
    <n v="345"/>
    <n v="12320"/>
    <n v="11978"/>
    <n v="238"/>
    <x v="2"/>
    <x v="4"/>
    <n v="0.12353896103896105"/>
  </r>
  <r>
    <s v="P292"/>
    <x v="3"/>
    <x v="193"/>
    <x v="1"/>
    <s v="Check out our latest text on facebook!"/>
    <n v="880"/>
    <n v="297"/>
    <n v="345"/>
    <n v="12320"/>
    <n v="11978"/>
    <n v="238"/>
    <x v="1"/>
    <x v="4"/>
    <n v="0.12353896103896105"/>
  </r>
  <r>
    <s v="P293"/>
    <x v="3"/>
    <x v="194"/>
    <x v="1"/>
    <s v="Check out our latest text on facebook!"/>
    <n v="2634"/>
    <n v="726"/>
    <n v="241"/>
    <n v="28974"/>
    <n v="28102"/>
    <n v="277"/>
    <x v="4"/>
    <x v="0"/>
    <n v="0.12428384068475185"/>
  </r>
  <r>
    <s v="P294"/>
    <x v="3"/>
    <x v="195"/>
    <x v="3"/>
    <s v="Check out our latest carousel on facebook!"/>
    <n v="4731"/>
    <n v="173"/>
    <n v="276"/>
    <n v="28386"/>
    <n v="28185"/>
    <n v="89"/>
    <x v="4"/>
    <x v="2"/>
    <n v="0.18248432325794406"/>
  </r>
  <r>
    <s v="P295"/>
    <x v="0"/>
    <x v="157"/>
    <x v="4"/>
    <s v="Check out our latest image on twitter!"/>
    <n v="1952"/>
    <n v="344"/>
    <n v="287"/>
    <n v="15616"/>
    <n v="15403"/>
    <n v="235"/>
    <x v="0"/>
    <x v="1"/>
    <n v="0.16540727459016394"/>
  </r>
  <r>
    <s v="P295"/>
    <x v="0"/>
    <x v="157"/>
    <x v="4"/>
    <s v="Check out our latest image on twitter!"/>
    <n v="1952"/>
    <n v="344"/>
    <n v="287"/>
    <n v="15616"/>
    <n v="15403"/>
    <n v="235"/>
    <x v="2"/>
    <x v="1"/>
    <n v="0.16540727459016394"/>
  </r>
  <r>
    <s v="P295"/>
    <x v="0"/>
    <x v="157"/>
    <x v="4"/>
    <s v="Check out our latest image on twitter!"/>
    <n v="1952"/>
    <n v="344"/>
    <n v="287"/>
    <n v="15616"/>
    <n v="15403"/>
    <n v="235"/>
    <x v="1"/>
    <x v="1"/>
    <n v="0.16540727459016394"/>
  </r>
  <r>
    <s v="P296"/>
    <x v="0"/>
    <x v="196"/>
    <x v="5"/>
    <s v="Check out our latest video on twitter!"/>
    <n v="3440"/>
    <n v="13"/>
    <n v="20"/>
    <n v="58480"/>
    <n v="58146"/>
    <n v="210"/>
    <x v="2"/>
    <x v="3"/>
    <n v="5.9387824897400819E-2"/>
  </r>
  <r>
    <s v="P296"/>
    <x v="0"/>
    <x v="196"/>
    <x v="5"/>
    <s v="Check out our latest video on twitter!"/>
    <n v="3440"/>
    <n v="13"/>
    <n v="20"/>
    <n v="58480"/>
    <n v="58146"/>
    <n v="210"/>
    <x v="5"/>
    <x v="3"/>
    <n v="5.9387824897400819E-2"/>
  </r>
  <r>
    <s v="P297"/>
    <x v="0"/>
    <x v="197"/>
    <x v="1"/>
    <s v="Check out our latest text on twitter!"/>
    <n v="2166"/>
    <n v="354"/>
    <n v="117"/>
    <n v="10830"/>
    <n v="10245"/>
    <n v="24"/>
    <x v="4"/>
    <x v="3"/>
    <n v="0.24349030470914126"/>
  </r>
  <r>
    <s v="P298"/>
    <x v="3"/>
    <x v="14"/>
    <x v="4"/>
    <s v="Check out our latest image on facebook!"/>
    <n v="4303"/>
    <n v="451"/>
    <n v="286"/>
    <n v="86060"/>
    <n v="85823"/>
    <n v="14"/>
    <x v="2"/>
    <x v="2"/>
    <n v="5.8563792702765516E-2"/>
  </r>
  <r>
    <s v="P299"/>
    <x v="3"/>
    <x v="15"/>
    <x v="4"/>
    <s v="Check out our latest image on facebook!"/>
    <n v="2581"/>
    <n v="517"/>
    <n v="117"/>
    <n v="23229"/>
    <n v="22331"/>
    <n v="70"/>
    <x v="0"/>
    <x v="2"/>
    <n v="0.13840458048129492"/>
  </r>
  <r>
    <s v="P300"/>
    <x v="0"/>
    <x v="115"/>
    <x v="3"/>
    <s v="Check out our latest carousel on twitter!"/>
    <n v="4494"/>
    <n v="717"/>
    <n v="45"/>
    <n v="62916"/>
    <n v="62688"/>
    <n v="191"/>
    <x v="2"/>
    <x v="0"/>
    <n v="8.3539958039290485E-2"/>
  </r>
  <r>
    <s v="P300"/>
    <x v="0"/>
    <x v="115"/>
    <x v="3"/>
    <s v="Check out our latest carousel on twitter!"/>
    <n v="4494"/>
    <n v="717"/>
    <n v="45"/>
    <n v="62916"/>
    <n v="62688"/>
    <n v="191"/>
    <x v="4"/>
    <x v="0"/>
    <n v="8.3539958039290485E-2"/>
  </r>
  <r>
    <s v="P300"/>
    <x v="0"/>
    <x v="115"/>
    <x v="3"/>
    <s v="Check out our latest carousel on twitter!"/>
    <n v="4494"/>
    <n v="717"/>
    <n v="45"/>
    <n v="62916"/>
    <n v="62688"/>
    <n v="191"/>
    <x v="3"/>
    <x v="0"/>
    <n v="8.3539958039290485E-2"/>
  </r>
  <r>
    <m/>
    <x v="4"/>
    <x v="198"/>
    <x v="6"/>
    <m/>
    <m/>
    <m/>
    <m/>
    <m/>
    <m/>
    <m/>
    <x v="6"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135"/>
    <n v="88"/>
    <n v="344084"/>
    <x v="0"/>
    <x v="0"/>
    <x v="0"/>
    <x v="0"/>
  </r>
  <r>
    <x v="1"/>
    <n v="1312"/>
    <n v="310"/>
    <n v="42654"/>
    <x v="1"/>
    <x v="1"/>
    <x v="0"/>
    <x v="1"/>
  </r>
  <r>
    <x v="2"/>
    <n v="584"/>
    <n v="169"/>
    <n v="146834"/>
    <x v="2"/>
    <x v="2"/>
    <x v="0"/>
    <x v="2"/>
  </r>
  <r>
    <x v="3"/>
    <n v="1535"/>
    <n v="445"/>
    <n v="395536"/>
    <x v="3"/>
    <x v="3"/>
    <x v="0"/>
    <x v="3"/>
  </r>
  <r>
    <x v="0"/>
    <n v="656"/>
    <n v="139"/>
    <n v="49157"/>
    <x v="4"/>
    <x v="4"/>
    <x v="1"/>
    <x v="4"/>
  </r>
  <r>
    <x v="1"/>
    <n v="1697"/>
    <n v="414"/>
    <n v="316555"/>
    <x v="5"/>
    <x v="5"/>
    <x v="1"/>
    <x v="5"/>
  </r>
  <r>
    <x v="2"/>
    <n v="436"/>
    <n v="250"/>
    <n v="254347"/>
    <x v="6"/>
    <x v="6"/>
    <x v="1"/>
    <x v="6"/>
  </r>
  <r>
    <x v="3"/>
    <n v="1197"/>
    <n v="203"/>
    <n v="413878"/>
    <x v="7"/>
    <x v="7"/>
    <x v="1"/>
    <x v="7"/>
  </r>
  <r>
    <x v="0"/>
    <n v="1048"/>
    <n v="155"/>
    <n v="456946"/>
    <x v="8"/>
    <x v="8"/>
    <x v="2"/>
    <x v="8"/>
  </r>
  <r>
    <x v="1"/>
    <n v="1753"/>
    <n v="371"/>
    <n v="169496"/>
    <x v="9"/>
    <x v="9"/>
    <x v="2"/>
    <x v="9"/>
  </r>
  <r>
    <x v="2"/>
    <n v="1335"/>
    <n v="40"/>
    <n v="122732"/>
    <x v="10"/>
    <x v="10"/>
    <x v="2"/>
    <x v="10"/>
  </r>
  <r>
    <x v="3"/>
    <n v="403"/>
    <n v="66"/>
    <n v="382851"/>
    <x v="11"/>
    <x v="11"/>
    <x v="2"/>
    <x v="11"/>
  </r>
  <r>
    <x v="0"/>
    <n v="911"/>
    <n v="282"/>
    <n v="35664"/>
    <x v="12"/>
    <x v="12"/>
    <x v="3"/>
    <x v="12"/>
  </r>
  <r>
    <x v="1"/>
    <n v="1779"/>
    <n v="109"/>
    <n v="26295"/>
    <x v="13"/>
    <x v="13"/>
    <x v="3"/>
    <x v="13"/>
  </r>
  <r>
    <x v="2"/>
    <n v="1238"/>
    <n v="403"/>
    <n v="298421"/>
    <x v="14"/>
    <x v="14"/>
    <x v="3"/>
    <x v="14"/>
  </r>
  <r>
    <x v="3"/>
    <n v="308"/>
    <n v="431"/>
    <n v="426184"/>
    <x v="15"/>
    <x v="15"/>
    <x v="3"/>
    <x v="15"/>
  </r>
  <r>
    <x v="0"/>
    <n v="226"/>
    <n v="445"/>
    <n v="419447"/>
    <x v="16"/>
    <x v="1"/>
    <x v="4"/>
    <x v="16"/>
  </r>
  <r>
    <x v="1"/>
    <n v="505"/>
    <n v="441"/>
    <n v="220020"/>
    <x v="17"/>
    <x v="16"/>
    <x v="4"/>
    <x v="17"/>
  </r>
  <r>
    <x v="2"/>
    <n v="1420"/>
    <n v="63"/>
    <n v="315305"/>
    <x v="18"/>
    <x v="17"/>
    <x v="4"/>
    <x v="18"/>
  </r>
  <r>
    <x v="3"/>
    <n v="144"/>
    <n v="53"/>
    <n v="113678"/>
    <x v="19"/>
    <x v="18"/>
    <x v="4"/>
    <x v="19"/>
  </r>
  <r>
    <x v="0"/>
    <n v="1757"/>
    <n v="85"/>
    <n v="58223"/>
    <x v="20"/>
    <x v="19"/>
    <x v="5"/>
    <x v="20"/>
  </r>
  <r>
    <x v="1"/>
    <n v="350"/>
    <n v="41"/>
    <n v="251694"/>
    <x v="21"/>
    <x v="20"/>
    <x v="5"/>
    <x v="21"/>
  </r>
  <r>
    <x v="2"/>
    <n v="987"/>
    <n v="440"/>
    <n v="389810"/>
    <x v="22"/>
    <x v="21"/>
    <x v="5"/>
    <x v="22"/>
  </r>
  <r>
    <x v="3"/>
    <n v="883"/>
    <n v="369"/>
    <n v="233694"/>
    <x v="23"/>
    <x v="22"/>
    <x v="5"/>
    <x v="23"/>
  </r>
  <r>
    <x v="0"/>
    <n v="1960"/>
    <n v="115"/>
    <n v="154169"/>
    <x v="24"/>
    <x v="23"/>
    <x v="6"/>
    <x v="24"/>
  </r>
  <r>
    <x v="1"/>
    <n v="170"/>
    <n v="334"/>
    <n v="334626"/>
    <x v="25"/>
    <x v="24"/>
    <x v="6"/>
    <x v="25"/>
  </r>
  <r>
    <x v="2"/>
    <n v="704"/>
    <n v="275"/>
    <n v="226002"/>
    <x v="26"/>
    <x v="25"/>
    <x v="6"/>
    <x v="26"/>
  </r>
  <r>
    <x v="3"/>
    <n v="224"/>
    <n v="64"/>
    <n v="156683"/>
    <x v="27"/>
    <x v="26"/>
    <x v="6"/>
    <x v="27"/>
  </r>
  <r>
    <x v="0"/>
    <n v="508"/>
    <n v="349"/>
    <n v="473812"/>
    <x v="28"/>
    <x v="27"/>
    <x v="7"/>
    <x v="28"/>
  </r>
  <r>
    <x v="1"/>
    <n v="1391"/>
    <n v="430"/>
    <n v="295032"/>
    <x v="29"/>
    <x v="28"/>
    <x v="7"/>
    <x v="29"/>
  </r>
  <r>
    <x v="2"/>
    <n v="1701"/>
    <n v="385"/>
    <n v="198278"/>
    <x v="30"/>
    <x v="29"/>
    <x v="7"/>
    <x v="30"/>
  </r>
  <r>
    <x v="3"/>
    <n v="804"/>
    <n v="487"/>
    <n v="306564"/>
    <x v="31"/>
    <x v="30"/>
    <x v="7"/>
    <x v="31"/>
  </r>
  <r>
    <x v="0"/>
    <n v="653"/>
    <n v="112"/>
    <n v="23664"/>
    <x v="32"/>
    <x v="31"/>
    <x v="8"/>
    <x v="32"/>
  </r>
  <r>
    <x v="1"/>
    <n v="160"/>
    <n v="478"/>
    <n v="435034"/>
    <x v="33"/>
    <x v="32"/>
    <x v="8"/>
    <x v="33"/>
  </r>
  <r>
    <x v="2"/>
    <n v="1756"/>
    <n v="261"/>
    <n v="287574"/>
    <x v="34"/>
    <x v="33"/>
    <x v="8"/>
    <x v="34"/>
  </r>
  <r>
    <x v="3"/>
    <n v="576"/>
    <n v="101"/>
    <n v="62499"/>
    <x v="35"/>
    <x v="34"/>
    <x v="8"/>
    <x v="35"/>
  </r>
  <r>
    <x v="0"/>
    <n v="645"/>
    <n v="293"/>
    <n v="437968"/>
    <x v="36"/>
    <x v="35"/>
    <x v="9"/>
    <x v="36"/>
  </r>
  <r>
    <x v="1"/>
    <n v="214"/>
    <n v="411"/>
    <n v="125034"/>
    <x v="37"/>
    <x v="36"/>
    <x v="9"/>
    <x v="37"/>
  </r>
  <r>
    <x v="2"/>
    <n v="826"/>
    <n v="498"/>
    <n v="449994"/>
    <x v="38"/>
    <x v="37"/>
    <x v="9"/>
    <x v="38"/>
  </r>
  <r>
    <x v="3"/>
    <n v="460"/>
    <n v="141"/>
    <n v="320650"/>
    <x v="39"/>
    <x v="38"/>
    <x v="9"/>
    <x v="39"/>
  </r>
  <r>
    <x v="0"/>
    <n v="1528"/>
    <n v="203"/>
    <n v="489188"/>
    <x v="40"/>
    <x v="39"/>
    <x v="10"/>
    <x v="40"/>
  </r>
  <r>
    <x v="1"/>
    <n v="1534"/>
    <n v="200"/>
    <n v="307612"/>
    <x v="41"/>
    <x v="40"/>
    <x v="10"/>
    <x v="41"/>
  </r>
  <r>
    <x v="2"/>
    <n v="485"/>
    <n v="448"/>
    <n v="434883"/>
    <x v="42"/>
    <x v="41"/>
    <x v="10"/>
    <x v="42"/>
  </r>
  <r>
    <x v="3"/>
    <n v="1210"/>
    <n v="178"/>
    <n v="102042"/>
    <x v="43"/>
    <x v="42"/>
    <x v="10"/>
    <x v="43"/>
  </r>
  <r>
    <x v="0"/>
    <n v="215"/>
    <n v="139"/>
    <n v="325444"/>
    <x v="44"/>
    <x v="43"/>
    <x v="11"/>
    <x v="44"/>
  </r>
  <r>
    <x v="1"/>
    <n v="1078"/>
    <n v="20"/>
    <n v="183924"/>
    <x v="45"/>
    <x v="44"/>
    <x v="11"/>
    <x v="45"/>
  </r>
  <r>
    <x v="2"/>
    <n v="1751"/>
    <n v="86"/>
    <n v="188655"/>
    <x v="46"/>
    <x v="45"/>
    <x v="11"/>
    <x v="46"/>
  </r>
  <r>
    <x v="3"/>
    <n v="221"/>
    <n v="31"/>
    <n v="87443"/>
    <x v="18"/>
    <x v="46"/>
    <x v="11"/>
    <x v="47"/>
  </r>
  <r>
    <x v="0"/>
    <n v="1685"/>
    <n v="76"/>
    <n v="453799"/>
    <x v="47"/>
    <x v="47"/>
    <x v="12"/>
    <x v="48"/>
  </r>
  <r>
    <x v="1"/>
    <n v="248"/>
    <n v="211"/>
    <n v="379380"/>
    <x v="48"/>
    <x v="48"/>
    <x v="12"/>
    <x v="42"/>
  </r>
  <r>
    <x v="2"/>
    <n v="1300"/>
    <n v="71"/>
    <n v="186454"/>
    <x v="49"/>
    <x v="49"/>
    <x v="12"/>
    <x v="49"/>
  </r>
  <r>
    <x v="3"/>
    <n v="422"/>
    <n v="394"/>
    <n v="239044"/>
    <x v="36"/>
    <x v="50"/>
    <x v="12"/>
    <x v="50"/>
  </r>
  <r>
    <x v="0"/>
    <n v="1429"/>
    <n v="182"/>
    <n v="101332"/>
    <x v="50"/>
    <x v="51"/>
    <x v="13"/>
    <x v="51"/>
  </r>
  <r>
    <x v="1"/>
    <n v="1520"/>
    <n v="475"/>
    <n v="496982"/>
    <x v="51"/>
    <x v="52"/>
    <x v="13"/>
    <x v="52"/>
  </r>
  <r>
    <x v="2"/>
    <n v="557"/>
    <n v="360"/>
    <n v="318779"/>
    <x v="52"/>
    <x v="53"/>
    <x v="13"/>
    <x v="53"/>
  </r>
  <r>
    <x v="3"/>
    <n v="728"/>
    <n v="395"/>
    <n v="370971"/>
    <x v="53"/>
    <x v="54"/>
    <x v="13"/>
    <x v="54"/>
  </r>
  <r>
    <x v="0"/>
    <n v="1592"/>
    <n v="20"/>
    <n v="378054"/>
    <x v="54"/>
    <x v="55"/>
    <x v="14"/>
    <x v="55"/>
  </r>
  <r>
    <x v="1"/>
    <n v="1842"/>
    <n v="414"/>
    <n v="307524"/>
    <x v="55"/>
    <x v="56"/>
    <x v="14"/>
    <x v="56"/>
  </r>
  <r>
    <x v="2"/>
    <n v="751"/>
    <n v="491"/>
    <n v="434047"/>
    <x v="56"/>
    <x v="57"/>
    <x v="14"/>
    <x v="57"/>
  </r>
  <r>
    <x v="3"/>
    <n v="1409"/>
    <n v="309"/>
    <n v="64583"/>
    <x v="57"/>
    <x v="58"/>
    <x v="14"/>
    <x v="58"/>
  </r>
  <r>
    <x v="0"/>
    <n v="778"/>
    <n v="401"/>
    <n v="50793"/>
    <x v="58"/>
    <x v="59"/>
    <x v="15"/>
    <x v="59"/>
  </r>
  <r>
    <x v="1"/>
    <n v="443"/>
    <n v="345"/>
    <n v="474162"/>
    <x v="59"/>
    <x v="60"/>
    <x v="15"/>
    <x v="60"/>
  </r>
  <r>
    <x v="2"/>
    <n v="1472"/>
    <n v="347"/>
    <n v="392355"/>
    <x v="60"/>
    <x v="61"/>
    <x v="15"/>
    <x v="61"/>
  </r>
  <r>
    <x v="3"/>
    <n v="123"/>
    <n v="155"/>
    <n v="119934"/>
    <x v="14"/>
    <x v="62"/>
    <x v="15"/>
    <x v="62"/>
  </r>
  <r>
    <x v="0"/>
    <n v="817"/>
    <n v="151"/>
    <n v="422625"/>
    <x v="61"/>
    <x v="63"/>
    <x v="16"/>
    <x v="63"/>
  </r>
  <r>
    <x v="1"/>
    <n v="198"/>
    <n v="217"/>
    <n v="239753"/>
    <x v="62"/>
    <x v="64"/>
    <x v="16"/>
    <x v="64"/>
  </r>
  <r>
    <x v="2"/>
    <n v="1911"/>
    <n v="231"/>
    <n v="268516"/>
    <x v="42"/>
    <x v="65"/>
    <x v="16"/>
    <x v="65"/>
  </r>
  <r>
    <x v="3"/>
    <n v="1218"/>
    <n v="212"/>
    <n v="63177"/>
    <x v="63"/>
    <x v="66"/>
    <x v="16"/>
    <x v="66"/>
  </r>
  <r>
    <x v="0"/>
    <n v="1433"/>
    <n v="408"/>
    <n v="370269"/>
    <x v="64"/>
    <x v="67"/>
    <x v="17"/>
    <x v="67"/>
  </r>
  <r>
    <x v="1"/>
    <n v="250"/>
    <n v="429"/>
    <n v="453423"/>
    <x v="65"/>
    <x v="68"/>
    <x v="17"/>
    <x v="68"/>
  </r>
  <r>
    <x v="2"/>
    <n v="752"/>
    <n v="153"/>
    <n v="64906"/>
    <x v="66"/>
    <x v="69"/>
    <x v="17"/>
    <x v="69"/>
  </r>
  <r>
    <x v="3"/>
    <n v="1918"/>
    <n v="212"/>
    <n v="94360"/>
    <x v="62"/>
    <x v="70"/>
    <x v="17"/>
    <x v="70"/>
  </r>
  <r>
    <x v="0"/>
    <n v="1939"/>
    <n v="67"/>
    <n v="187183"/>
    <x v="67"/>
    <x v="71"/>
    <x v="18"/>
    <x v="71"/>
  </r>
  <r>
    <x v="1"/>
    <n v="1929"/>
    <n v="267"/>
    <n v="379363"/>
    <x v="68"/>
    <x v="72"/>
    <x v="18"/>
    <x v="72"/>
  </r>
  <r>
    <x v="2"/>
    <n v="437"/>
    <n v="330"/>
    <n v="476486"/>
    <x v="69"/>
    <x v="73"/>
    <x v="18"/>
    <x v="73"/>
  </r>
  <r>
    <x v="3"/>
    <n v="307"/>
    <n v="189"/>
    <n v="117767"/>
    <x v="70"/>
    <x v="74"/>
    <x v="18"/>
    <x v="74"/>
  </r>
  <r>
    <x v="0"/>
    <n v="1527"/>
    <n v="303"/>
    <n v="388555"/>
    <x v="71"/>
    <x v="75"/>
    <x v="19"/>
    <x v="75"/>
  </r>
  <r>
    <x v="1"/>
    <n v="643"/>
    <n v="358"/>
    <n v="157599"/>
    <x v="72"/>
    <x v="76"/>
    <x v="19"/>
    <x v="76"/>
  </r>
  <r>
    <x v="2"/>
    <n v="201"/>
    <n v="221"/>
    <n v="309772"/>
    <x v="73"/>
    <x v="77"/>
    <x v="19"/>
    <x v="77"/>
  </r>
  <r>
    <x v="3"/>
    <n v="414"/>
    <n v="47"/>
    <n v="199178"/>
    <x v="74"/>
    <x v="78"/>
    <x v="19"/>
    <x v="78"/>
  </r>
  <r>
    <x v="0"/>
    <n v="703"/>
    <n v="441"/>
    <n v="357089"/>
    <x v="75"/>
    <x v="79"/>
    <x v="20"/>
    <x v="79"/>
  </r>
  <r>
    <x v="1"/>
    <n v="508"/>
    <n v="69"/>
    <n v="23492"/>
    <x v="7"/>
    <x v="80"/>
    <x v="20"/>
    <x v="80"/>
  </r>
  <r>
    <x v="2"/>
    <n v="697"/>
    <n v="61"/>
    <n v="258287"/>
    <x v="76"/>
    <x v="81"/>
    <x v="20"/>
    <x v="81"/>
  </r>
  <r>
    <x v="3"/>
    <n v="1707"/>
    <n v="223"/>
    <n v="256910"/>
    <x v="77"/>
    <x v="82"/>
    <x v="20"/>
    <x v="82"/>
  </r>
  <r>
    <x v="0"/>
    <n v="642"/>
    <n v="66"/>
    <n v="346522"/>
    <x v="78"/>
    <x v="83"/>
    <x v="21"/>
    <x v="83"/>
  </r>
  <r>
    <x v="1"/>
    <n v="859"/>
    <n v="473"/>
    <n v="209987"/>
    <x v="79"/>
    <x v="84"/>
    <x v="21"/>
    <x v="84"/>
  </r>
  <r>
    <x v="2"/>
    <n v="191"/>
    <n v="154"/>
    <n v="240550"/>
    <x v="80"/>
    <x v="85"/>
    <x v="21"/>
    <x v="42"/>
  </r>
  <r>
    <x v="3"/>
    <n v="1814"/>
    <n v="157"/>
    <n v="305827"/>
    <x v="81"/>
    <x v="86"/>
    <x v="21"/>
    <x v="85"/>
  </r>
  <r>
    <x v="0"/>
    <n v="1466"/>
    <n v="69"/>
    <n v="54935"/>
    <x v="82"/>
    <x v="87"/>
    <x v="22"/>
    <x v="86"/>
  </r>
  <r>
    <x v="1"/>
    <n v="947"/>
    <n v="407"/>
    <n v="319186"/>
    <x v="83"/>
    <x v="88"/>
    <x v="22"/>
    <x v="87"/>
  </r>
  <r>
    <x v="2"/>
    <n v="1821"/>
    <n v="218"/>
    <n v="439080"/>
    <x v="84"/>
    <x v="89"/>
    <x v="22"/>
    <x v="88"/>
  </r>
  <r>
    <x v="3"/>
    <n v="1507"/>
    <n v="463"/>
    <n v="258944"/>
    <x v="85"/>
    <x v="90"/>
    <x v="22"/>
    <x v="89"/>
  </r>
  <r>
    <x v="0"/>
    <n v="1075"/>
    <n v="173"/>
    <n v="51395"/>
    <x v="22"/>
    <x v="91"/>
    <x v="23"/>
    <x v="90"/>
  </r>
  <r>
    <x v="1"/>
    <n v="171"/>
    <n v="277"/>
    <n v="309483"/>
    <x v="86"/>
    <x v="92"/>
    <x v="23"/>
    <x v="91"/>
  </r>
  <r>
    <x v="2"/>
    <n v="1487"/>
    <n v="337"/>
    <n v="87305"/>
    <x v="8"/>
    <x v="93"/>
    <x v="23"/>
    <x v="92"/>
  </r>
  <r>
    <x v="3"/>
    <n v="454"/>
    <n v="105"/>
    <n v="121091"/>
    <x v="87"/>
    <x v="94"/>
    <x v="23"/>
    <x v="93"/>
  </r>
  <r>
    <x v="0"/>
    <n v="187"/>
    <n v="236"/>
    <n v="51087"/>
    <x v="88"/>
    <x v="95"/>
    <x v="24"/>
    <x v="94"/>
  </r>
  <r>
    <x v="1"/>
    <n v="513"/>
    <n v="441"/>
    <n v="338847"/>
    <x v="89"/>
    <x v="96"/>
    <x v="24"/>
    <x v="95"/>
  </r>
  <r>
    <x v="2"/>
    <n v="628"/>
    <n v="183"/>
    <n v="487523"/>
    <x v="90"/>
    <x v="97"/>
    <x v="24"/>
    <x v="96"/>
  </r>
  <r>
    <x v="3"/>
    <n v="278"/>
    <n v="218"/>
    <n v="301695"/>
    <x v="91"/>
    <x v="98"/>
    <x v="24"/>
    <x v="97"/>
  </r>
  <r>
    <x v="0"/>
    <n v="1854"/>
    <n v="161"/>
    <n v="282466"/>
    <x v="92"/>
    <x v="99"/>
    <x v="25"/>
    <x v="98"/>
  </r>
  <r>
    <x v="1"/>
    <n v="1710"/>
    <n v="378"/>
    <n v="336661"/>
    <x v="93"/>
    <x v="100"/>
    <x v="25"/>
    <x v="99"/>
  </r>
  <r>
    <x v="2"/>
    <n v="330"/>
    <n v="232"/>
    <n v="88455"/>
    <x v="94"/>
    <x v="101"/>
    <x v="25"/>
    <x v="60"/>
  </r>
  <r>
    <x v="3"/>
    <n v="1293"/>
    <n v="408"/>
    <n v="62535"/>
    <x v="71"/>
    <x v="102"/>
    <x v="25"/>
    <x v="100"/>
  </r>
  <r>
    <x v="0"/>
    <n v="1696"/>
    <n v="71"/>
    <n v="421957"/>
    <x v="95"/>
    <x v="103"/>
    <x v="26"/>
    <x v="101"/>
  </r>
  <r>
    <x v="1"/>
    <n v="1902"/>
    <n v="196"/>
    <n v="470269"/>
    <x v="96"/>
    <x v="104"/>
    <x v="26"/>
    <x v="70"/>
  </r>
  <r>
    <x v="2"/>
    <n v="1441"/>
    <n v="268"/>
    <n v="309904"/>
    <x v="97"/>
    <x v="105"/>
    <x v="26"/>
    <x v="102"/>
  </r>
  <r>
    <x v="3"/>
    <n v="452"/>
    <n v="161"/>
    <n v="221274"/>
    <x v="98"/>
    <x v="106"/>
    <x v="26"/>
    <x v="103"/>
  </r>
  <r>
    <x v="0"/>
    <n v="1494"/>
    <n v="375"/>
    <n v="220616"/>
    <x v="99"/>
    <x v="107"/>
    <x v="27"/>
    <x v="104"/>
  </r>
  <r>
    <x v="1"/>
    <n v="1514"/>
    <n v="141"/>
    <n v="35842"/>
    <x v="100"/>
    <x v="108"/>
    <x v="27"/>
    <x v="105"/>
  </r>
  <r>
    <x v="2"/>
    <n v="1937"/>
    <n v="210"/>
    <n v="20607"/>
    <x v="101"/>
    <x v="109"/>
    <x v="27"/>
    <x v="106"/>
  </r>
  <r>
    <x v="3"/>
    <n v="736"/>
    <n v="163"/>
    <n v="451894"/>
    <x v="102"/>
    <x v="110"/>
    <x v="27"/>
    <x v="107"/>
  </r>
  <r>
    <x v="0"/>
    <n v="1502"/>
    <n v="70"/>
    <n v="465553"/>
    <x v="83"/>
    <x v="111"/>
    <x v="28"/>
    <x v="108"/>
  </r>
  <r>
    <x v="1"/>
    <n v="1623"/>
    <n v="246"/>
    <n v="415815"/>
    <x v="9"/>
    <x v="112"/>
    <x v="28"/>
    <x v="109"/>
  </r>
  <r>
    <x v="2"/>
    <n v="1592"/>
    <n v="233"/>
    <n v="327183"/>
    <x v="103"/>
    <x v="113"/>
    <x v="28"/>
    <x v="110"/>
  </r>
  <r>
    <x v="3"/>
    <n v="1004"/>
    <n v="128"/>
    <n v="488901"/>
    <x v="104"/>
    <x v="114"/>
    <x v="28"/>
    <x v="111"/>
  </r>
  <r>
    <x v="0"/>
    <n v="1092"/>
    <n v="408"/>
    <n v="280795"/>
    <x v="105"/>
    <x v="115"/>
    <x v="29"/>
    <x v="112"/>
  </r>
  <r>
    <x v="1"/>
    <n v="1155"/>
    <n v="425"/>
    <n v="93347"/>
    <x v="106"/>
    <x v="116"/>
    <x v="29"/>
    <x v="113"/>
  </r>
  <r>
    <x v="2"/>
    <n v="1137"/>
    <n v="226"/>
    <n v="81119"/>
    <x v="107"/>
    <x v="117"/>
    <x v="29"/>
    <x v="114"/>
  </r>
  <r>
    <x v="3"/>
    <n v="1900"/>
    <n v="311"/>
    <n v="25177"/>
    <x v="108"/>
    <x v="118"/>
    <x v="29"/>
    <x v="115"/>
  </r>
  <r>
    <x v="0"/>
    <n v="1814"/>
    <n v="49"/>
    <n v="140804"/>
    <x v="55"/>
    <x v="119"/>
    <x v="30"/>
    <x v="116"/>
  </r>
  <r>
    <x v="1"/>
    <n v="1980"/>
    <n v="204"/>
    <n v="379431"/>
    <x v="109"/>
    <x v="120"/>
    <x v="30"/>
    <x v="117"/>
  </r>
  <r>
    <x v="2"/>
    <n v="1786"/>
    <n v="257"/>
    <n v="274831"/>
    <x v="91"/>
    <x v="121"/>
    <x v="30"/>
    <x v="118"/>
  </r>
  <r>
    <x v="3"/>
    <n v="1495"/>
    <n v="35"/>
    <n v="136845"/>
    <x v="17"/>
    <x v="122"/>
    <x v="30"/>
    <x v="119"/>
  </r>
  <r>
    <x v="0"/>
    <n v="1013"/>
    <n v="110"/>
    <n v="466382"/>
    <x v="110"/>
    <x v="123"/>
    <x v="31"/>
    <x v="120"/>
  </r>
  <r>
    <x v="1"/>
    <n v="816"/>
    <n v="196"/>
    <n v="95728"/>
    <x v="111"/>
    <x v="124"/>
    <x v="31"/>
    <x v="121"/>
  </r>
  <r>
    <x v="2"/>
    <n v="1633"/>
    <n v="445"/>
    <n v="371156"/>
    <x v="112"/>
    <x v="125"/>
    <x v="31"/>
    <x v="122"/>
  </r>
  <r>
    <x v="3"/>
    <n v="891"/>
    <n v="45"/>
    <n v="95410"/>
    <x v="113"/>
    <x v="126"/>
    <x v="31"/>
    <x v="123"/>
  </r>
  <r>
    <x v="0"/>
    <n v="1855"/>
    <n v="133"/>
    <n v="349413"/>
    <x v="64"/>
    <x v="127"/>
    <x v="32"/>
    <x v="124"/>
  </r>
  <r>
    <x v="1"/>
    <n v="651"/>
    <n v="353"/>
    <n v="224699"/>
    <x v="114"/>
    <x v="128"/>
    <x v="32"/>
    <x v="125"/>
  </r>
  <r>
    <x v="2"/>
    <n v="118"/>
    <n v="262"/>
    <n v="487896"/>
    <x v="115"/>
    <x v="129"/>
    <x v="32"/>
    <x v="126"/>
  </r>
  <r>
    <x v="3"/>
    <n v="1331"/>
    <n v="430"/>
    <n v="14437"/>
    <x v="116"/>
    <x v="130"/>
    <x v="32"/>
    <x v="127"/>
  </r>
  <r>
    <x v="0"/>
    <n v="1748"/>
    <n v="176"/>
    <n v="383681"/>
    <x v="56"/>
    <x v="131"/>
    <x v="33"/>
    <x v="55"/>
  </r>
  <r>
    <x v="1"/>
    <n v="663"/>
    <n v="236"/>
    <n v="479490"/>
    <x v="117"/>
    <x v="132"/>
    <x v="33"/>
    <x v="128"/>
  </r>
  <r>
    <x v="2"/>
    <n v="1040"/>
    <n v="149"/>
    <n v="124404"/>
    <x v="118"/>
    <x v="133"/>
    <x v="33"/>
    <x v="129"/>
  </r>
  <r>
    <x v="3"/>
    <n v="1166"/>
    <n v="442"/>
    <n v="336949"/>
    <x v="91"/>
    <x v="134"/>
    <x v="33"/>
    <x v="130"/>
  </r>
  <r>
    <x v="0"/>
    <n v="115"/>
    <n v="281"/>
    <n v="357265"/>
    <x v="119"/>
    <x v="135"/>
    <x v="34"/>
    <x v="131"/>
  </r>
  <r>
    <x v="1"/>
    <n v="1249"/>
    <n v="351"/>
    <n v="321307"/>
    <x v="97"/>
    <x v="136"/>
    <x v="34"/>
    <x v="132"/>
  </r>
  <r>
    <x v="2"/>
    <n v="1501"/>
    <n v="75"/>
    <n v="262569"/>
    <x v="120"/>
    <x v="137"/>
    <x v="34"/>
    <x v="133"/>
  </r>
  <r>
    <x v="3"/>
    <n v="1411"/>
    <n v="186"/>
    <n v="461669"/>
    <x v="121"/>
    <x v="138"/>
    <x v="34"/>
    <x v="134"/>
  </r>
  <r>
    <x v="0"/>
    <n v="1556"/>
    <n v="476"/>
    <n v="351556"/>
    <x v="122"/>
    <x v="139"/>
    <x v="35"/>
    <x v="135"/>
  </r>
  <r>
    <x v="1"/>
    <n v="1159"/>
    <n v="411"/>
    <n v="135987"/>
    <x v="86"/>
    <x v="140"/>
    <x v="35"/>
    <x v="136"/>
  </r>
  <r>
    <x v="2"/>
    <n v="927"/>
    <n v="358"/>
    <n v="177554"/>
    <x v="123"/>
    <x v="141"/>
    <x v="35"/>
    <x v="137"/>
  </r>
  <r>
    <x v="3"/>
    <n v="152"/>
    <n v="355"/>
    <n v="270766"/>
    <x v="124"/>
    <x v="142"/>
    <x v="35"/>
    <x v="138"/>
  </r>
  <r>
    <x v="0"/>
    <n v="1957"/>
    <n v="234"/>
    <n v="222126"/>
    <x v="125"/>
    <x v="143"/>
    <x v="36"/>
    <x v="139"/>
  </r>
  <r>
    <x v="1"/>
    <n v="1294"/>
    <n v="382"/>
    <n v="309914"/>
    <x v="126"/>
    <x v="144"/>
    <x v="36"/>
    <x v="140"/>
  </r>
  <r>
    <x v="2"/>
    <n v="1587"/>
    <n v="385"/>
    <n v="126582"/>
    <x v="127"/>
    <x v="145"/>
    <x v="36"/>
    <x v="141"/>
  </r>
  <r>
    <x v="3"/>
    <n v="1707"/>
    <n v="263"/>
    <n v="485280"/>
    <x v="128"/>
    <x v="146"/>
    <x v="36"/>
    <x v="142"/>
  </r>
  <r>
    <x v="0"/>
    <n v="1138"/>
    <n v="173"/>
    <n v="453243"/>
    <x v="129"/>
    <x v="147"/>
    <x v="37"/>
    <x v="143"/>
  </r>
  <r>
    <x v="1"/>
    <n v="1895"/>
    <n v="305"/>
    <n v="104967"/>
    <x v="130"/>
    <x v="148"/>
    <x v="37"/>
    <x v="144"/>
  </r>
  <r>
    <x v="2"/>
    <n v="362"/>
    <n v="399"/>
    <n v="145608"/>
    <x v="131"/>
    <x v="149"/>
    <x v="37"/>
    <x v="145"/>
  </r>
  <r>
    <x v="3"/>
    <n v="1662"/>
    <n v="487"/>
    <n v="105980"/>
    <x v="132"/>
    <x v="150"/>
    <x v="37"/>
    <x v="146"/>
  </r>
  <r>
    <x v="0"/>
    <n v="1440"/>
    <n v="65"/>
    <n v="126524"/>
    <x v="133"/>
    <x v="151"/>
    <x v="38"/>
    <x v="147"/>
  </r>
  <r>
    <x v="1"/>
    <n v="1884"/>
    <n v="177"/>
    <n v="230448"/>
    <x v="134"/>
    <x v="152"/>
    <x v="38"/>
    <x v="148"/>
  </r>
  <r>
    <x v="2"/>
    <n v="861"/>
    <n v="153"/>
    <n v="317007"/>
    <x v="130"/>
    <x v="153"/>
    <x v="38"/>
    <x v="149"/>
  </r>
  <r>
    <x v="3"/>
    <n v="1063"/>
    <n v="47"/>
    <n v="464239"/>
    <x v="135"/>
    <x v="154"/>
    <x v="38"/>
    <x v="150"/>
  </r>
  <r>
    <x v="0"/>
    <n v="1371"/>
    <n v="56"/>
    <n v="257579"/>
    <x v="136"/>
    <x v="155"/>
    <x v="39"/>
    <x v="151"/>
  </r>
  <r>
    <x v="1"/>
    <n v="345"/>
    <n v="464"/>
    <n v="366881"/>
    <x v="137"/>
    <x v="156"/>
    <x v="39"/>
    <x v="152"/>
  </r>
  <r>
    <x v="2"/>
    <n v="946"/>
    <n v="47"/>
    <n v="466575"/>
    <x v="113"/>
    <x v="157"/>
    <x v="39"/>
    <x v="153"/>
  </r>
  <r>
    <x v="3"/>
    <n v="510"/>
    <n v="195"/>
    <n v="224534"/>
    <x v="138"/>
    <x v="158"/>
    <x v="39"/>
    <x v="154"/>
  </r>
  <r>
    <x v="0"/>
    <n v="393"/>
    <n v="181"/>
    <n v="462142"/>
    <x v="139"/>
    <x v="159"/>
    <x v="40"/>
    <x v="155"/>
  </r>
  <r>
    <x v="1"/>
    <n v="1098"/>
    <n v="190"/>
    <n v="340842"/>
    <x v="140"/>
    <x v="160"/>
    <x v="40"/>
    <x v="156"/>
  </r>
  <r>
    <x v="2"/>
    <n v="1399"/>
    <n v="49"/>
    <n v="12471"/>
    <x v="141"/>
    <x v="161"/>
    <x v="40"/>
    <x v="157"/>
  </r>
  <r>
    <x v="3"/>
    <n v="1658"/>
    <n v="416"/>
    <n v="98397"/>
    <x v="37"/>
    <x v="162"/>
    <x v="40"/>
    <x v="158"/>
  </r>
  <r>
    <x v="0"/>
    <n v="1102"/>
    <n v="422"/>
    <n v="410330"/>
    <x v="107"/>
    <x v="163"/>
    <x v="41"/>
    <x v="159"/>
  </r>
  <r>
    <x v="1"/>
    <n v="1358"/>
    <n v="242"/>
    <n v="342129"/>
    <x v="142"/>
    <x v="164"/>
    <x v="41"/>
    <x v="160"/>
  </r>
  <r>
    <x v="2"/>
    <n v="1077"/>
    <n v="216"/>
    <n v="12447"/>
    <x v="143"/>
    <x v="165"/>
    <x v="41"/>
    <x v="161"/>
  </r>
  <r>
    <x v="3"/>
    <n v="1596"/>
    <n v="211"/>
    <n v="17380"/>
    <x v="144"/>
    <x v="166"/>
    <x v="41"/>
    <x v="162"/>
  </r>
  <r>
    <x v="0"/>
    <n v="490"/>
    <n v="29"/>
    <n v="364810"/>
    <x v="74"/>
    <x v="167"/>
    <x v="42"/>
    <x v="163"/>
  </r>
  <r>
    <x v="1"/>
    <n v="609"/>
    <n v="135"/>
    <n v="373606"/>
    <x v="145"/>
    <x v="168"/>
    <x v="42"/>
    <x v="164"/>
  </r>
  <r>
    <x v="2"/>
    <n v="364"/>
    <n v="72"/>
    <n v="211090"/>
    <x v="146"/>
    <x v="169"/>
    <x v="42"/>
    <x v="165"/>
  </r>
  <r>
    <x v="3"/>
    <n v="442"/>
    <n v="53"/>
    <n v="441931"/>
    <x v="147"/>
    <x v="170"/>
    <x v="42"/>
    <x v="166"/>
  </r>
  <r>
    <x v="0"/>
    <n v="1033"/>
    <n v="392"/>
    <n v="282780"/>
    <x v="148"/>
    <x v="171"/>
    <x v="43"/>
    <x v="167"/>
  </r>
  <r>
    <x v="1"/>
    <n v="988"/>
    <n v="474"/>
    <n v="370070"/>
    <x v="149"/>
    <x v="172"/>
    <x v="43"/>
    <x v="23"/>
  </r>
  <r>
    <x v="2"/>
    <n v="1946"/>
    <n v="270"/>
    <n v="198350"/>
    <x v="150"/>
    <x v="173"/>
    <x v="43"/>
    <x v="168"/>
  </r>
  <r>
    <x v="3"/>
    <n v="1957"/>
    <n v="490"/>
    <n v="435726"/>
    <x v="151"/>
    <x v="174"/>
    <x v="43"/>
    <x v="169"/>
  </r>
  <r>
    <x v="0"/>
    <n v="559"/>
    <n v="392"/>
    <n v="78789"/>
    <x v="152"/>
    <x v="175"/>
    <x v="44"/>
    <x v="170"/>
  </r>
  <r>
    <x v="1"/>
    <n v="1307"/>
    <n v="278"/>
    <n v="98596"/>
    <x v="153"/>
    <x v="176"/>
    <x v="44"/>
    <x v="171"/>
  </r>
  <r>
    <x v="2"/>
    <n v="1432"/>
    <n v="425"/>
    <n v="29589"/>
    <x v="154"/>
    <x v="177"/>
    <x v="44"/>
    <x v="172"/>
  </r>
  <r>
    <x v="3"/>
    <n v="623"/>
    <n v="414"/>
    <n v="290354"/>
    <x v="155"/>
    <x v="178"/>
    <x v="44"/>
    <x v="173"/>
  </r>
  <r>
    <x v="0"/>
    <n v="198"/>
    <n v="358"/>
    <n v="66682"/>
    <x v="156"/>
    <x v="179"/>
    <x v="45"/>
    <x v="174"/>
  </r>
  <r>
    <x v="1"/>
    <n v="198"/>
    <n v="373"/>
    <n v="70707"/>
    <x v="157"/>
    <x v="180"/>
    <x v="45"/>
    <x v="175"/>
  </r>
  <r>
    <x v="2"/>
    <n v="353"/>
    <n v="300"/>
    <n v="142507"/>
    <x v="110"/>
    <x v="181"/>
    <x v="45"/>
    <x v="176"/>
  </r>
  <r>
    <x v="3"/>
    <n v="520"/>
    <n v="375"/>
    <n v="369525"/>
    <x v="158"/>
    <x v="182"/>
    <x v="45"/>
    <x v="177"/>
  </r>
  <r>
    <x v="0"/>
    <n v="961"/>
    <n v="358"/>
    <n v="62942"/>
    <x v="159"/>
    <x v="183"/>
    <x v="46"/>
    <x v="178"/>
  </r>
  <r>
    <x v="1"/>
    <n v="1375"/>
    <n v="330"/>
    <n v="377382"/>
    <x v="160"/>
    <x v="184"/>
    <x v="46"/>
    <x v="52"/>
  </r>
  <r>
    <x v="2"/>
    <n v="1147"/>
    <n v="388"/>
    <n v="333851"/>
    <x v="161"/>
    <x v="185"/>
    <x v="46"/>
    <x v="179"/>
  </r>
  <r>
    <x v="3"/>
    <n v="1707"/>
    <n v="74"/>
    <n v="270958"/>
    <x v="109"/>
    <x v="186"/>
    <x v="46"/>
    <x v="180"/>
  </r>
  <r>
    <x v="0"/>
    <n v="1693"/>
    <n v="154"/>
    <n v="445944"/>
    <x v="162"/>
    <x v="187"/>
    <x v="47"/>
    <x v="181"/>
  </r>
  <r>
    <x v="1"/>
    <n v="833"/>
    <n v="380"/>
    <n v="224830"/>
    <x v="53"/>
    <x v="188"/>
    <x v="47"/>
    <x v="182"/>
  </r>
  <r>
    <x v="2"/>
    <n v="1222"/>
    <n v="274"/>
    <n v="487289"/>
    <x v="7"/>
    <x v="189"/>
    <x v="47"/>
    <x v="183"/>
  </r>
  <r>
    <x v="3"/>
    <n v="777"/>
    <n v="140"/>
    <n v="11435"/>
    <x v="163"/>
    <x v="190"/>
    <x v="47"/>
    <x v="184"/>
  </r>
  <r>
    <x v="0"/>
    <n v="1957"/>
    <n v="76"/>
    <n v="447902"/>
    <x v="164"/>
    <x v="191"/>
    <x v="48"/>
    <x v="185"/>
  </r>
  <r>
    <x v="1"/>
    <n v="405"/>
    <n v="66"/>
    <n v="418696"/>
    <x v="165"/>
    <x v="192"/>
    <x v="48"/>
    <x v="186"/>
  </r>
  <r>
    <x v="2"/>
    <n v="1581"/>
    <n v="71"/>
    <n v="484364"/>
    <x v="166"/>
    <x v="193"/>
    <x v="48"/>
    <x v="187"/>
  </r>
  <r>
    <x v="3"/>
    <n v="1035"/>
    <n v="171"/>
    <n v="148477"/>
    <x v="167"/>
    <x v="194"/>
    <x v="48"/>
    <x v="188"/>
  </r>
  <r>
    <x v="0"/>
    <n v="1765"/>
    <n v="109"/>
    <n v="468301"/>
    <x v="168"/>
    <x v="195"/>
    <x v="49"/>
    <x v="189"/>
  </r>
  <r>
    <x v="1"/>
    <n v="837"/>
    <n v="430"/>
    <n v="364820"/>
    <x v="169"/>
    <x v="196"/>
    <x v="49"/>
    <x v="190"/>
  </r>
  <r>
    <x v="2"/>
    <n v="337"/>
    <n v="68"/>
    <n v="456298"/>
    <x v="170"/>
    <x v="197"/>
    <x v="49"/>
    <x v="191"/>
  </r>
  <r>
    <x v="3"/>
    <n v="119"/>
    <n v="456"/>
    <n v="82558"/>
    <x v="171"/>
    <x v="198"/>
    <x v="49"/>
    <x v="192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3"/>
  </r>
  <r>
    <x v="4"/>
    <m/>
    <m/>
    <m/>
    <x v="172"/>
    <x v="199"/>
    <x v="50"/>
    <x v="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9BC6C-258B-2649-A704-84690FD82A31}" name="PivotTable3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0" firstHeaderRow="1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0"/>
        <item x="5"/>
        <item x="2"/>
        <item x="6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gagement Rate" fld="13" subtotal="average" baseField="0" baseItem="0"/>
  </dataFields>
  <formats count="3">
    <format dxfId="24">
      <pivotArea collapsedLevelsAreSubtotals="1" fieldPosition="0">
        <references count="1">
          <reference field="11" count="1">
            <x v="5"/>
          </reference>
        </references>
      </pivotArea>
    </format>
    <format dxfId="23">
      <pivotArea collapsedLevelsAreSubtotals="1" fieldPosition="0">
        <references count="1">
          <reference field="11" count="1">
            <x v="3"/>
          </reference>
        </references>
      </pivotArea>
    </format>
    <format dxfId="22">
      <pivotArea collapsedLevelsAreSubtotals="1" fieldPosition="0">
        <references count="1">
          <reference field="1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81F85-9C60-2E4C-97F7-6C85389B4802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21" firstHeaderRow="1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1"/>
        <item x="3"/>
        <item x="4"/>
        <item x="0"/>
        <item x="5"/>
        <item x="2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licks" fld="10" subtotal="average" baseField="0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58967-C93E-3540-AD8A-B48CEBEC0FB8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J9" firstHeaderRow="1" firstDataRow="2" firstDataCol="1"/>
  <pivotFields count="17"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axis="axisCol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ngagement Rate" fld="13" subtotal="average" baseField="0" baseItem="0"/>
  </dataFields>
  <formats count="1">
    <format dxfId="21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F8763-61AC-864F-8880-E04949C30416}" name="PivotTable3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1:D37" firstHeaderRow="1" firstDataRow="1" firstDataCol="1"/>
  <pivotFields count="11"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d_Spend" fld="5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A9F86-0324-ED46-9C52-3A2448EF5065}" name="PivotTable2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4:L10" firstHeaderRow="1" firstDataRow="1" firstDataCol="1"/>
  <pivotFields count="11">
    <pivotField axis="axisRow" showAll="0">
      <items count="6">
        <item x="1"/>
        <item x="0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w_Followers" fld="1" baseField="0" baseItem="0"/>
  </dataFields>
  <formats count="1">
    <format dxfId="19">
      <pivotArea collapsedLevelsAreSubtotals="1" fieldPosition="0">
        <references count="1">
          <reference field="0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6ECF3-E602-4144-AB86-D881D61A5A74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I8" firstHeaderRow="1" firstDataRow="2" firstDataCol="1"/>
  <pivotFields count="17"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axis="axisCol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ngagement Rate" fld="13" subtotal="average" baseField="0" baseItem="0"/>
  </dataFields>
  <formats count="2">
    <format dxfId="20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5">
      <pivotArea field="3" grandRow="1" outline="0" collapsedLevelsAreSubtotals="1" axis="axisCol" fieldPosition="0">
        <references count="1">
          <reference field="3" count="2" selected="0">
            <x v="2"/>
            <x v="3"/>
          </reference>
        </references>
      </pivotArea>
    </format>
  </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CCFAB-399B-2F4C-889D-8ED56D04A44D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B37" firstHeaderRow="1" firstDataRow="1" firstDataCol="1"/>
  <pivotFields count="11"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_Rate" fld="4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6CABB-CCFA-DA49-87AC-83837947FA1D}" name="PivotTable3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4:I41" firstHeaderRow="1" firstDataRow="2" firstDataCol="1"/>
  <pivotFields count="17"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axis="axisCol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ngagement Rate" fld="13" subtotal="average" baseField="0" baseItem="0"/>
  </dataFields>
  <formats count="10">
    <format dxfId="12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3">
      <pivotArea field="3" grandRow="1" outline="0" collapsedLevelsAreSubtotals="1" axis="axisCol" fieldPosition="0">
        <references count="1">
          <reference field="3" count="2" selected="0">
            <x v="2"/>
            <x v="3"/>
          </reference>
        </references>
      </pivotArea>
    </format>
    <format dxfId="11">
      <pivotArea collapsedLevelsAreSubtotals="1" fieldPosition="0">
        <references count="2">
          <reference field="1" count="1">
            <x v="1"/>
          </reference>
          <reference field="3" count="2" selected="0">
            <x v="2"/>
            <x v="3"/>
          </reference>
        </references>
      </pivotArea>
    </format>
    <format dxfId="10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9">
      <pivotArea field="3" grandRow="1" outline="0" collapsedLevelsAreSubtotals="1" axis="axisCol" fieldPosition="0">
        <references count="1">
          <reference field="3" count="1" selected="0">
            <x v="2"/>
          </reference>
        </references>
      </pivotArea>
    </format>
    <format dxfId="8">
      <pivotArea collapsedLevelsAreSubtotals="1" fieldPosition="0">
        <references count="2">
          <reference field="1" count="1">
            <x v="1"/>
          </reference>
          <reference field="3" count="1" selected="0">
            <x v="3"/>
          </reference>
        </references>
      </pivotArea>
    </format>
    <format dxfId="7">
      <pivotArea collapsedLevelsAreSubtotals="1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6">
      <pivotArea collapsedLevelsAreSubtotals="1" fieldPosition="0">
        <references count="2">
          <reference field="1" count="1">
            <x v="2"/>
          </reference>
          <reference field="3" count="1" selected="0">
            <x v="3"/>
          </reference>
        </references>
      </pivotArea>
    </format>
    <format dxfId="5">
      <pivotArea collapsedLevelsAreSubtotals="1" fieldPosition="0">
        <references count="2">
          <reference field="1" count="1">
            <x v="3"/>
          </reference>
          <reference field="3" count="1" selected="0">
            <x v="0"/>
          </reference>
        </references>
      </pivotArea>
    </format>
    <format dxfId="4">
      <pivotArea collapsedLevelsAreSubtotals="1" fieldPosition="0">
        <references count="2">
          <reference field="1" count="1">
            <x v="1"/>
          </reference>
          <reference field="3" count="1" selected="0">
            <x v="2"/>
          </reference>
        </references>
      </pivotArea>
    </format>
  </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2DD38-BBCE-6A40-A5BB-9E8EC2DF932C}" name="PivotTable1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1"/>
        <item x="3"/>
        <item x="4"/>
        <item x="0"/>
        <item x="5"/>
        <item x="2"/>
        <item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Hashtags Used" fld="11" subtotal="count" baseField="0" baseItem="0"/>
  </dataFields>
  <formats count="2">
    <format dxfId="18">
      <pivotArea collapsedLevelsAreSubtotals="1" fieldPosition="0">
        <references count="1">
          <reference field="11" count="1">
            <x v="5"/>
          </reference>
        </references>
      </pivotArea>
    </format>
    <format dxfId="17">
      <pivotArea collapsedLevelsAreSubtotals="1" fieldPosition="0">
        <references count="1">
          <reference field="11" count="2">
            <x v="2"/>
            <x v="3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CF590-1EB1-1842-8AFC-6DD0E9C533B2}" name="PivotTable1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I31" firstHeaderRow="1" firstDataRow="2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axis="axisCol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0"/>
        <item x="5"/>
        <item x="2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ngagement Rate" fld="13" subtotal="average" baseField="0" baseItem="0"/>
  </dataFields>
  <formats count="1">
    <format dxfId="14">
      <pivotArea field="3" grandRow="1" outline="0" collapsedLevelsAreSubtotals="1" axis="axisCol" fieldPosition="0">
        <references count="1">
          <reference field="3" count="1" selected="0">
            <x v="3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D0DCF-DF7C-1B40-B04C-EAAE006CD332}" name="PivotTable1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:B20" firstHeaderRow="1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0"/>
        <item x="5"/>
        <item x="2"/>
        <item x="6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gagement Rate" fld="13" subtotal="average" baseField="0" baseItem="0"/>
  </dataFields>
  <formats count="1">
    <format dxfId="16">
      <pivotArea collapsedLevelsAreSubtotals="1" fieldPosition="0">
        <references count="1">
          <reference field="11" count="1">
            <x v="2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82AC2-5B2F-124C-BC21-8593077A0ACF}" name="PivotTable2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0:B54" firstHeaderRow="1" firstDataRow="1" firstDataCol="1"/>
  <pivotFields count="17">
    <pivotField showAll="0"/>
    <pivotField showAll="0"/>
    <pivotField axis="axisRow"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4"/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Engagement Rat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601B8-FAB7-5C45-94B5-6B4FB9807136}" name="PivotTable2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7" firstHeaderRow="1" firstDataRow="1" firstDataCol="1"/>
  <pivotFields count="11"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d_Spen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8D24F-EBF1-A84E-81D4-D02F81C8E81E}" name="PivotTable2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29" firstHeaderRow="0" firstDataRow="1" firstDataCol="1"/>
  <pivotFields count="17"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1558A-E01A-D040-98D3-1F975DAFC63F}" name="PivotTable18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:G19" firstHeaderRow="0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Likes" fld="5" subtotal="average" baseField="0" baseItem="0"/>
    <dataField name="Average of Shares" fld="6" subtotal="average" baseField="0" baseItem="0"/>
    <dataField name="Average of Comments" fld="7" subtotal="average" baseField="0" baseItem="0"/>
    <dataField name="Average of Impressions" fld="8" subtotal="average" baseField="0" baseItem="0"/>
    <dataField name="Average of Reach" fld="9" subtotal="average" baseField="0" baseItem="0"/>
    <dataField name="Average of Clicks" fld="10" subtotal="average" baseField="0" baseItem="0"/>
  </dataFields>
  <formats count="1">
    <format dxfId="2">
      <pivotArea collapsedLevelsAreSubtotals="1" fieldPosition="0">
        <references count="2">
          <reference field="4294967294" count="1" selected="0">
            <x v="5"/>
          </reference>
          <reference field="1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72495-50AB-5043-A7CD-C4D6A5672388}" name="PivotTable1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G9" firstHeaderRow="0" firstDataRow="1" firstDataCol="1"/>
  <pivotFields count="17">
    <pivotField showAll="0"/>
    <pivotField showAll="0"/>
    <pivotField showAll="0">
      <items count="200">
        <item x="164"/>
        <item x="151"/>
        <item x="81"/>
        <item x="116"/>
        <item x="78"/>
        <item x="185"/>
        <item x="47"/>
        <item x="90"/>
        <item x="161"/>
        <item x="49"/>
        <item x="92"/>
        <item x="117"/>
        <item x="52"/>
        <item x="195"/>
        <item x="136"/>
        <item x="94"/>
        <item x="56"/>
        <item x="18"/>
        <item x="6"/>
        <item x="4"/>
        <item x="162"/>
        <item x="87"/>
        <item x="48"/>
        <item x="79"/>
        <item x="137"/>
        <item x="112"/>
        <item x="7"/>
        <item x="114"/>
        <item x="165"/>
        <item x="155"/>
        <item x="11"/>
        <item x="123"/>
        <item x="74"/>
        <item x="62"/>
        <item x="140"/>
        <item x="97"/>
        <item x="31"/>
        <item x="70"/>
        <item x="173"/>
        <item x="175"/>
        <item x="160"/>
        <item x="96"/>
        <item x="124"/>
        <item x="3"/>
        <item x="86"/>
        <item x="133"/>
        <item x="146"/>
        <item x="60"/>
        <item x="17"/>
        <item x="178"/>
        <item x="32"/>
        <item x="118"/>
        <item x="125"/>
        <item x="15"/>
        <item x="171"/>
        <item x="8"/>
        <item x="115"/>
        <item x="66"/>
        <item x="58"/>
        <item x="107"/>
        <item x="19"/>
        <item x="85"/>
        <item x="145"/>
        <item x="148"/>
        <item x="26"/>
        <item x="89"/>
        <item x="190"/>
        <item x="108"/>
        <item x="100"/>
        <item x="188"/>
        <item x="143"/>
        <item x="99"/>
        <item x="158"/>
        <item x="72"/>
        <item x="170"/>
        <item x="184"/>
        <item x="75"/>
        <item x="183"/>
        <item x="68"/>
        <item x="73"/>
        <item x="54"/>
        <item x="122"/>
        <item x="14"/>
        <item x="168"/>
        <item x="177"/>
        <item x="69"/>
        <item x="113"/>
        <item x="5"/>
        <item x="44"/>
        <item x="104"/>
        <item x="182"/>
        <item x="22"/>
        <item x="71"/>
        <item x="84"/>
        <item x="129"/>
        <item x="101"/>
        <item x="193"/>
        <item x="12"/>
        <item x="152"/>
        <item x="59"/>
        <item x="98"/>
        <item x="38"/>
        <item x="186"/>
        <item x="111"/>
        <item x="144"/>
        <item x="34"/>
        <item x="130"/>
        <item x="134"/>
        <item x="64"/>
        <item x="76"/>
        <item x="83"/>
        <item x="42"/>
        <item x="30"/>
        <item x="139"/>
        <item x="53"/>
        <item x="147"/>
        <item x="192"/>
        <item x="121"/>
        <item x="142"/>
        <item x="0"/>
        <item x="197"/>
        <item x="153"/>
        <item x="132"/>
        <item x="120"/>
        <item x="50"/>
        <item x="20"/>
        <item x="36"/>
        <item x="80"/>
        <item x="141"/>
        <item x="169"/>
        <item x="174"/>
        <item x="150"/>
        <item x="135"/>
        <item x="166"/>
        <item x="23"/>
        <item x="77"/>
        <item x="57"/>
        <item x="179"/>
        <item x="28"/>
        <item x="10"/>
        <item x="93"/>
        <item x="109"/>
        <item x="105"/>
        <item x="88"/>
        <item x="196"/>
        <item x="176"/>
        <item x="13"/>
        <item x="37"/>
        <item x="126"/>
        <item x="180"/>
        <item x="46"/>
        <item x="29"/>
        <item x="21"/>
        <item x="43"/>
        <item x="67"/>
        <item x="27"/>
        <item x="41"/>
        <item x="167"/>
        <item x="39"/>
        <item x="40"/>
        <item x="9"/>
        <item x="51"/>
        <item x="103"/>
        <item x="154"/>
        <item x="138"/>
        <item x="187"/>
        <item x="91"/>
        <item x="82"/>
        <item x="95"/>
        <item x="33"/>
        <item x="172"/>
        <item x="61"/>
        <item x="63"/>
        <item x="127"/>
        <item x="65"/>
        <item x="1"/>
        <item x="25"/>
        <item x="106"/>
        <item x="149"/>
        <item x="128"/>
        <item x="24"/>
        <item x="181"/>
        <item x="55"/>
        <item x="191"/>
        <item x="35"/>
        <item x="119"/>
        <item x="110"/>
        <item x="131"/>
        <item x="163"/>
        <item x="156"/>
        <item x="45"/>
        <item x="16"/>
        <item x="157"/>
        <item x="189"/>
        <item x="102"/>
        <item x="2"/>
        <item x="159"/>
        <item x="194"/>
        <item x="198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5" baseField="0" baseItem="0"/>
    <dataField name="Sum of Shares" fld="6" baseField="0" baseItem="0"/>
    <dataField name="Sum of Comments" fld="7" baseField="0" baseItem="0"/>
    <dataField name="Sum of Impressions" fld="8" baseField="0" baseItem="0"/>
    <dataField name="Sum of Reach" fld="9" baseField="0" baseItem="0"/>
    <dataField name="Sum of Clicks" fld="10" baseField="0" baseItem="0"/>
  </dataFields>
  <formats count="1">
    <format dxfId="3">
      <pivotArea collapsedLevelsAreSubtotals="1" fieldPosition="0">
        <references count="2">
          <reference field="4294967294" count="1" selected="0">
            <x v="5"/>
          </reference>
          <reference field="12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D03C9-A07A-A941-A756-E16F4DA12D75}" name="PivotTable2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G54" firstHeaderRow="1" firstDataRow="2" firstDataCol="1"/>
  <pivotFields count="11">
    <pivotField axis="axisCol" showAll="0">
      <items count="6">
        <item x="1"/>
        <item x="0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w_Followers" fld="1" baseField="0" baseItem="0"/>
  </dataFields>
  <formats count="13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0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6" type="button" dataOnly="0" labelOnly="1" outline="0" axis="axisRow" fieldPosition="0"/>
    </format>
    <format dxfId="31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">
      <pivotArea dataOnly="0" labelOnly="1" fieldPosition="0">
        <references count="1">
          <reference field="6" count="1">
            <x v="50"/>
          </reference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Col="1" outline="0" fieldPosition="0"/>
    </format>
    <format dxfId="1">
      <pivotArea field="6" grandCol="1" collapsedLevelsAreSubtotals="1" axis="axisRow" fieldPosition="0">
        <references count="1">
          <reference field="6" count="1">
            <x v="30"/>
          </reference>
        </references>
      </pivotArea>
    </format>
    <format dxfId="0">
      <pivotArea dataOnly="0" fieldPosition="0">
        <references count="1">
          <reference field="6" count="1">
            <x v="30"/>
          </reference>
        </references>
      </pivotArea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A132BD4-2670-6945-9465-66F279FF919B}" autoFormatId="16" applyNumberFormats="0" applyBorderFormats="0" applyFontFormats="0" applyPatternFormats="0" applyAlignmentFormats="0" applyWidthHeightFormats="0">
  <queryTableRefresh nextId="18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29DE2B4-EF11-9646-89EA-92867EA58AD4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latform" tableColumnId="1"/>
      <queryTableField id="2" name="New_Followers" tableColumnId="2"/>
      <queryTableField id="3" name="Unfollows" tableColumnId="3"/>
      <queryTableField id="4" name="Total_Followers" tableColumnId="4"/>
      <queryTableField id="5" name="Engagement_Rate" tableColumnId="5"/>
      <queryTableField id="6" name="Ad_Spend" tableColumnId="6"/>
      <queryTableField id="7" name="Week_Start_Date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3144D7D-B574-D845-975D-9415911B6EC6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5A3FE-06D7-7247-B27E-CBBA110DA021}" name="Posts" displayName="Posts" ref="A1:N340" tableType="queryTable" totalsRowShown="0">
  <autoFilter ref="A1:N340" xr:uid="{8FC5A3FE-06D7-7247-B27E-CBBA110DA021}"/>
  <sortState xmlns:xlrd2="http://schemas.microsoft.com/office/spreadsheetml/2017/richdata2" ref="A2:N340">
    <sortCondition descending="1" ref="N1:N340"/>
  </sortState>
  <tableColumns count="14">
    <tableColumn id="1" xr3:uid="{DEE31C16-1EEA-8740-B6D5-F3EE678B49A8}" uniqueName="1" name="Post ID" queryTableFieldId="1" dataDxfId="45"/>
    <tableColumn id="2" xr3:uid="{CC1425DD-0509-E440-AF3D-5B469423DEB4}" uniqueName="2" name="Platform" queryTableFieldId="2" dataDxfId="44"/>
    <tableColumn id="3" xr3:uid="{393D5A83-E938-5A41-96D9-83EEB10068A7}" uniqueName="3" name="Date" queryTableFieldId="3" dataDxfId="43"/>
    <tableColumn id="4" xr3:uid="{5331119A-3FF3-3E4B-98FC-63FABEBFACCA}" uniqueName="4" name="Content Type" queryTableFieldId="4" dataDxfId="42"/>
    <tableColumn id="5" xr3:uid="{E837E2D1-0076-2F47-A880-C429D7D966C9}" uniqueName="5" name="Post Text" queryTableFieldId="5" dataDxfId="41"/>
    <tableColumn id="6" xr3:uid="{ABD72B33-F406-A34C-85AF-4524AE5D1874}" uniqueName="6" name="Likes" queryTableFieldId="6"/>
    <tableColumn id="7" xr3:uid="{8337855E-6611-804C-A0EE-AB8D6DF13A3F}" uniqueName="7" name="Shares" queryTableFieldId="7"/>
    <tableColumn id="8" xr3:uid="{B91CC059-55ED-1D4E-B414-EE97DAF2D934}" uniqueName="8" name="Comments" queryTableFieldId="8"/>
    <tableColumn id="9" xr3:uid="{FD95423D-C248-DB45-BFE0-3768C8FB457C}" uniqueName="9" name="Impressions" queryTableFieldId="9"/>
    <tableColumn id="10" xr3:uid="{225A1431-4CF1-0D48-BA06-281E4C746838}" uniqueName="10" name="Reach" queryTableFieldId="10"/>
    <tableColumn id="11" xr3:uid="{804307C1-EB4F-E047-95E6-4E02EFA69D00}" uniqueName="11" name="Clicks" queryTableFieldId="11"/>
    <tableColumn id="12" xr3:uid="{56AFC6F5-E8D0-D34D-9274-7CC02B4F2F16}" uniqueName="12" name="Hashtags Used" queryTableFieldId="12" dataDxfId="40"/>
    <tableColumn id="13" xr3:uid="{1473E2B7-A312-B548-B490-40DCC9059693}" uniqueName="13" name="Campaign_Name" queryTableFieldId="13" dataDxfId="39"/>
    <tableColumn id="14" xr3:uid="{D31081A8-2A70-1840-84AA-616641F3EC83}" uniqueName="14" name="Engagement Rate" queryTableFieldId="14" dataDxfId="38">
      <calculatedColumnFormula>(Posts[[#This Row],[Likes]]+Posts[[#This Row],[Shares]]+Posts[[#This Row],[Comments]])/Posts[[#This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82628B-5B05-724E-B46F-9E6BDE9229BB}" name="Engagement_Summary" displayName="Engagement_Summary" ref="A1:H1000" tableType="queryTable" totalsRowShown="0">
  <autoFilter ref="A1:H1000" xr:uid="{4982628B-5B05-724E-B46F-9E6BDE9229BB}"/>
  <tableColumns count="8">
    <tableColumn id="1" xr3:uid="{2B098108-8F6B-F543-9D90-9CFD40290AB6}" uniqueName="1" name="Platform" queryTableFieldId="1" dataDxfId="48"/>
    <tableColumn id="2" xr3:uid="{2DA5BDAB-7A2B-1C4A-8117-9A419800B403}" uniqueName="2" name="New_Followers" queryTableFieldId="2"/>
    <tableColumn id="3" xr3:uid="{2397F35D-5687-9B4C-884A-DE90D1CB8DA3}" uniqueName="3" name="Unfollows" queryTableFieldId="3"/>
    <tableColumn id="4" xr3:uid="{CE7A7AFB-DD6B-4C4C-B0F1-1E276CAD169F}" uniqueName="4" name="Total_Followers" queryTableFieldId="4"/>
    <tableColumn id="5" xr3:uid="{93761179-D9CB-6348-A854-29061E73AEFC}" uniqueName="5" name="Engagement_Rate" queryTableFieldId="5"/>
    <tableColumn id="6" xr3:uid="{4201F46E-FF69-CA40-B045-3A5EDC7CE933}" uniqueName="6" name="Ad_Spend" queryTableFieldId="6"/>
    <tableColumn id="7" xr3:uid="{B3ABCECE-09F2-5F4E-9808-0BF2546E80C7}" uniqueName="7" name="Week_Start_Date" queryTableFieldId="7" dataDxfId="47"/>
    <tableColumn id="8" xr3:uid="{60DB6820-E553-3248-A08F-8214C628A94C}" uniqueName="8" name="Follower Growth" queryTableFieldId="8" dataDxfId="46">
      <calculatedColumnFormula>Engagement_Summary[[#This Row],[New_Followers]]-Engagement_Summary[[#This Row],[Unfollows]]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44D76-22A0-994B-B789-4D33409A1B00}" name="Campaign_Metadata" displayName="Campaign_Metadata" ref="A1:G8" tableType="queryTable" totalsRowShown="0">
  <autoFilter ref="A1:G8" xr:uid="{B5F44D76-22A0-994B-B789-4D33409A1B00}"/>
  <tableColumns count="7">
    <tableColumn id="1" xr3:uid="{A583062D-08C5-0540-99F1-AFBA3EB42C52}" uniqueName="1" name="Campaign_Name" queryTableFieldId="1" dataDxfId="54"/>
    <tableColumn id="2" xr3:uid="{38535B09-412F-3843-B8CD-CC3F55317D5E}" uniqueName="2" name="Start_Date" queryTableFieldId="2" dataDxfId="53"/>
    <tableColumn id="3" xr3:uid="{A3A93723-9844-F24B-95C4-8EDF6C60EE2C}" uniqueName="3" name="End_Date" queryTableFieldId="3" dataDxfId="52"/>
    <tableColumn id="4" xr3:uid="{68EA1F5D-0032-C745-BE52-3141089BBE29}" uniqueName="4" name="Objective" queryTableFieldId="4" dataDxfId="51"/>
    <tableColumn id="5" xr3:uid="{863356BC-909C-974F-8D58-34773ED4B785}" uniqueName="5" name="Total_Budget" queryTableFieldId="5"/>
    <tableColumn id="6" xr3:uid="{E9434C8B-E4F1-F743-AB2A-A5075910D388}" uniqueName="6" name="Target_Platforms" queryTableFieldId="6" dataDxfId="50"/>
    <tableColumn id="7" xr3:uid="{424287E1-E29B-0542-9575-4F85758630A8}" uniqueName="7" name="Primary_Hashtags" queryTableFieldId="7" dataDxfId="4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4DF3-C15C-704C-83C0-A2D2B6D8379D}">
  <dimension ref="A1:N340"/>
  <sheetViews>
    <sheetView workbookViewId="0">
      <selection activeCell="N1" sqref="N1:N1048576"/>
    </sheetView>
  </sheetViews>
  <sheetFormatPr baseColWidth="10" defaultRowHeight="16" x14ac:dyDescent="0.2"/>
  <cols>
    <col min="1" max="1" width="9.6640625" bestFit="1" customWidth="1"/>
    <col min="2" max="2" width="11" bestFit="1" customWidth="1"/>
    <col min="3" max="3" width="8.5" bestFit="1" customWidth="1"/>
    <col min="4" max="4" width="14.33203125" bestFit="1" customWidth="1"/>
    <col min="5" max="5" width="36.6640625" bestFit="1" customWidth="1"/>
    <col min="6" max="6" width="8.1640625" bestFit="1" customWidth="1"/>
    <col min="7" max="7" width="9.33203125" bestFit="1" customWidth="1"/>
    <col min="8" max="8" width="13" bestFit="1" customWidth="1"/>
    <col min="9" max="9" width="14" bestFit="1" customWidth="1"/>
    <col min="10" max="10" width="8.83203125" bestFit="1" customWidth="1"/>
    <col min="11" max="11" width="9" bestFit="1" customWidth="1"/>
    <col min="12" max="12" width="20" bestFit="1" customWidth="1"/>
    <col min="13" max="13" width="18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382</v>
      </c>
    </row>
    <row r="2" spans="1:14" x14ac:dyDescent="0.2">
      <c r="A2" t="s">
        <v>277</v>
      </c>
      <c r="B2" t="s">
        <v>31</v>
      </c>
      <c r="C2" s="1">
        <v>45445</v>
      </c>
      <c r="D2" t="s">
        <v>32</v>
      </c>
      <c r="E2" t="s">
        <v>33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34</v>
      </c>
      <c r="M2" t="s">
        <v>57</v>
      </c>
      <c r="N2">
        <f>(Posts[[#This Row],[Likes]]+Posts[[#This Row],[Shares]]+Posts[[#This Row],[Comments]])/Posts[[#This Row],[Impressions]]</f>
        <v>1.8129251700680271</v>
      </c>
    </row>
    <row r="3" spans="1:14" x14ac:dyDescent="0.2">
      <c r="A3" t="s">
        <v>112</v>
      </c>
      <c r="B3" t="s">
        <v>31</v>
      </c>
      <c r="C3" s="1">
        <v>45762</v>
      </c>
      <c r="D3" t="s">
        <v>15</v>
      </c>
      <c r="E3" t="s">
        <v>64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23</v>
      </c>
      <c r="M3" t="s">
        <v>35</v>
      </c>
      <c r="N3">
        <f>(Posts[[#This Row],[Likes]]+Posts[[#This Row],[Shares]]+Posts[[#This Row],[Comments]])/Posts[[#This Row],[Impressions]]</f>
        <v>0.86601941747572819</v>
      </c>
    </row>
    <row r="4" spans="1:14" x14ac:dyDescent="0.2">
      <c r="A4" t="s">
        <v>289</v>
      </c>
      <c r="B4" t="s">
        <v>14</v>
      </c>
      <c r="C4" s="1">
        <v>45776</v>
      </c>
      <c r="D4" t="s">
        <v>32</v>
      </c>
      <c r="E4" t="s">
        <v>101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34</v>
      </c>
      <c r="M4" t="s">
        <v>35</v>
      </c>
      <c r="N4">
        <f>(Posts[[#This Row],[Likes]]+Posts[[#This Row],[Shares]]+Posts[[#This Row],[Comments]])/Posts[[#This Row],[Impressions]]</f>
        <v>0.7168674698795181</v>
      </c>
    </row>
    <row r="5" spans="1:14" x14ac:dyDescent="0.2">
      <c r="A5" t="s">
        <v>235</v>
      </c>
      <c r="B5" t="s">
        <v>31</v>
      </c>
      <c r="C5" s="1">
        <v>45603</v>
      </c>
      <c r="D5" t="s">
        <v>59</v>
      </c>
      <c r="E5" t="s">
        <v>66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23</v>
      </c>
      <c r="M5" t="s">
        <v>35</v>
      </c>
      <c r="N5">
        <f>(Posts[[#This Row],[Likes]]+Posts[[#This Row],[Shares]]+Posts[[#This Row],[Comments]])/Posts[[#This Row],[Impressions]]</f>
        <v>0.70387596899224802</v>
      </c>
    </row>
    <row r="6" spans="1:14" x14ac:dyDescent="0.2">
      <c r="A6" t="s">
        <v>232</v>
      </c>
      <c r="B6" t="s">
        <v>31</v>
      </c>
      <c r="C6" s="1">
        <v>45674</v>
      </c>
      <c r="D6" t="s">
        <v>15</v>
      </c>
      <c r="E6" t="s">
        <v>64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17</v>
      </c>
      <c r="M6" t="s">
        <v>35</v>
      </c>
      <c r="N6">
        <f>(Posts[[#This Row],[Likes]]+Posts[[#This Row],[Shares]]+Posts[[#This Row],[Comments]])/Posts[[#This Row],[Impressions]]</f>
        <v>0.6508215962441315</v>
      </c>
    </row>
    <row r="7" spans="1:14" x14ac:dyDescent="0.2">
      <c r="A7" t="s">
        <v>116</v>
      </c>
      <c r="B7" t="s">
        <v>14</v>
      </c>
      <c r="C7" s="1">
        <v>45618</v>
      </c>
      <c r="D7" t="s">
        <v>39</v>
      </c>
      <c r="E7" t="s">
        <v>42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23</v>
      </c>
      <c r="M7" t="s">
        <v>29</v>
      </c>
      <c r="N7">
        <f>(Posts[[#This Row],[Likes]]+Posts[[#This Row],[Shares]]+Posts[[#This Row],[Comments]])/Posts[[#This Row],[Impressions]]</f>
        <v>0.53773584905660377</v>
      </c>
    </row>
    <row r="8" spans="1:14" x14ac:dyDescent="0.2">
      <c r="A8" t="s">
        <v>321</v>
      </c>
      <c r="B8" t="s">
        <v>14</v>
      </c>
      <c r="C8" s="1">
        <v>45687</v>
      </c>
      <c r="D8" t="s">
        <v>44</v>
      </c>
      <c r="E8" t="s">
        <v>91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23</v>
      </c>
      <c r="M8" t="s">
        <v>24</v>
      </c>
      <c r="N8">
        <f>(Posts[[#This Row],[Likes]]+Posts[[#This Row],[Shares]]+Posts[[#This Row],[Comments]])/Posts[[#This Row],[Impressions]]</f>
        <v>0.53389830508474578</v>
      </c>
    </row>
    <row r="9" spans="1:14" x14ac:dyDescent="0.2">
      <c r="A9" t="s">
        <v>200</v>
      </c>
      <c r="B9" t="s">
        <v>27</v>
      </c>
      <c r="C9" s="1">
        <v>45567</v>
      </c>
      <c r="D9" t="s">
        <v>39</v>
      </c>
      <c r="E9" t="s">
        <v>54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23</v>
      </c>
      <c r="M9" t="s">
        <v>29</v>
      </c>
      <c r="N9">
        <f>(Posts[[#This Row],[Likes]]+Posts[[#This Row],[Shares]]+Posts[[#This Row],[Comments]])/Posts[[#This Row],[Impressions]]</f>
        <v>0.50192307692307692</v>
      </c>
    </row>
    <row r="10" spans="1:14" x14ac:dyDescent="0.2">
      <c r="A10" t="s">
        <v>267</v>
      </c>
      <c r="B10" t="s">
        <v>27</v>
      </c>
      <c r="C10" s="1">
        <v>45707</v>
      </c>
      <c r="D10" t="s">
        <v>44</v>
      </c>
      <c r="E10" t="s">
        <v>45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17</v>
      </c>
      <c r="M10" t="s">
        <v>18</v>
      </c>
      <c r="N10">
        <f>(Posts[[#This Row],[Likes]]+Posts[[#This Row],[Shares]]+Posts[[#This Row],[Comments]])/Posts[[#This Row],[Impressions]]</f>
        <v>0.48518407662376534</v>
      </c>
    </row>
    <row r="11" spans="1:14" x14ac:dyDescent="0.2">
      <c r="A11" t="s">
        <v>124</v>
      </c>
      <c r="B11" t="s">
        <v>38</v>
      </c>
      <c r="C11" s="1">
        <v>45749</v>
      </c>
      <c r="D11" t="s">
        <v>59</v>
      </c>
      <c r="E11" t="s">
        <v>60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23</v>
      </c>
      <c r="M11" t="s">
        <v>57</v>
      </c>
      <c r="N11">
        <f>(Posts[[#This Row],[Likes]]+Posts[[#This Row],[Shares]]+Posts[[#This Row],[Comments]])/Posts[[#This Row],[Impressions]]</f>
        <v>0.38274706867671693</v>
      </c>
    </row>
    <row r="12" spans="1:14" x14ac:dyDescent="0.2">
      <c r="A12" t="s">
        <v>271</v>
      </c>
      <c r="B12" t="s">
        <v>31</v>
      </c>
      <c r="C12" s="1">
        <v>45649</v>
      </c>
      <c r="D12" t="s">
        <v>44</v>
      </c>
      <c r="E12" t="s">
        <v>137</v>
      </c>
      <c r="F12">
        <v>521</v>
      </c>
      <c r="G12">
        <v>746</v>
      </c>
      <c r="H12">
        <v>315</v>
      </c>
      <c r="I12">
        <v>4168</v>
      </c>
      <c r="J12">
        <v>3399</v>
      </c>
      <c r="K12">
        <v>282</v>
      </c>
      <c r="L12" t="s">
        <v>17</v>
      </c>
      <c r="M12" t="s">
        <v>24</v>
      </c>
      <c r="N12">
        <f>(Posts[[#This Row],[Likes]]+Posts[[#This Row],[Shares]]+Posts[[#This Row],[Comments]])/Posts[[#This Row],[Impressions]]</f>
        <v>0.37955854126679461</v>
      </c>
    </row>
    <row r="13" spans="1:14" x14ac:dyDescent="0.2">
      <c r="A13" t="s">
        <v>107</v>
      </c>
      <c r="B13" t="s">
        <v>27</v>
      </c>
      <c r="C13" s="1">
        <v>45712</v>
      </c>
      <c r="D13" t="s">
        <v>39</v>
      </c>
      <c r="E13" t="s">
        <v>54</v>
      </c>
      <c r="F13">
        <v>804</v>
      </c>
      <c r="G13">
        <v>639</v>
      </c>
      <c r="H13">
        <v>43</v>
      </c>
      <c r="I13">
        <v>4020</v>
      </c>
      <c r="J13">
        <v>3144</v>
      </c>
      <c r="K13">
        <v>11</v>
      </c>
      <c r="L13" t="s">
        <v>34</v>
      </c>
      <c r="M13" t="s">
        <v>57</v>
      </c>
      <c r="N13">
        <f>(Posts[[#This Row],[Likes]]+Posts[[#This Row],[Shares]]+Posts[[#This Row],[Comments]])/Posts[[#This Row],[Impressions]]</f>
        <v>0.36965174129353234</v>
      </c>
    </row>
    <row r="14" spans="1:14" x14ac:dyDescent="0.2">
      <c r="A14" t="s">
        <v>107</v>
      </c>
      <c r="B14" t="s">
        <v>27</v>
      </c>
      <c r="C14" s="1">
        <v>45712</v>
      </c>
      <c r="D14" t="s">
        <v>39</v>
      </c>
      <c r="E14" t="s">
        <v>54</v>
      </c>
      <c r="F14">
        <v>804</v>
      </c>
      <c r="G14">
        <v>639</v>
      </c>
      <c r="H14">
        <v>43</v>
      </c>
      <c r="I14">
        <v>4020</v>
      </c>
      <c r="J14">
        <v>3144</v>
      </c>
      <c r="K14">
        <v>11</v>
      </c>
      <c r="L14" t="s">
        <v>25</v>
      </c>
      <c r="M14" t="s">
        <v>57</v>
      </c>
      <c r="N14">
        <f>(Posts[[#This Row],[Likes]]+Posts[[#This Row],[Shares]]+Posts[[#This Row],[Comments]])/Posts[[#This Row],[Impressions]]</f>
        <v>0.36965174129353234</v>
      </c>
    </row>
    <row r="15" spans="1:14" x14ac:dyDescent="0.2">
      <c r="A15" t="s">
        <v>158</v>
      </c>
      <c r="B15" t="s">
        <v>14</v>
      </c>
      <c r="C15" s="1">
        <v>45553</v>
      </c>
      <c r="D15" t="s">
        <v>15</v>
      </c>
      <c r="E15" t="s">
        <v>16</v>
      </c>
      <c r="F15">
        <v>1000</v>
      </c>
      <c r="G15">
        <v>978</v>
      </c>
      <c r="H15">
        <v>162</v>
      </c>
      <c r="I15">
        <v>6000</v>
      </c>
      <c r="J15">
        <v>5221</v>
      </c>
      <c r="K15">
        <v>223</v>
      </c>
      <c r="L15" t="s">
        <v>34</v>
      </c>
      <c r="M15" t="s">
        <v>24</v>
      </c>
      <c r="N15">
        <f>(Posts[[#This Row],[Likes]]+Posts[[#This Row],[Shares]]+Posts[[#This Row],[Comments]])/Posts[[#This Row],[Impressions]]</f>
        <v>0.35666666666666669</v>
      </c>
    </row>
    <row r="16" spans="1:14" x14ac:dyDescent="0.2">
      <c r="A16" t="s">
        <v>180</v>
      </c>
      <c r="B16" t="s">
        <v>27</v>
      </c>
      <c r="C16" s="1">
        <v>45753</v>
      </c>
      <c r="D16" t="s">
        <v>39</v>
      </c>
      <c r="E16" t="s">
        <v>54</v>
      </c>
      <c r="F16">
        <v>736</v>
      </c>
      <c r="G16">
        <v>771</v>
      </c>
      <c r="H16">
        <v>225</v>
      </c>
      <c r="I16">
        <v>5152</v>
      </c>
      <c r="J16">
        <v>4706</v>
      </c>
      <c r="K16">
        <v>19</v>
      </c>
      <c r="L16" t="s">
        <v>34</v>
      </c>
      <c r="M16" t="s">
        <v>18</v>
      </c>
      <c r="N16">
        <f>(Posts[[#This Row],[Likes]]+Posts[[#This Row],[Shares]]+Posts[[#This Row],[Comments]])/Posts[[#This Row],[Impressions]]</f>
        <v>0.33618012422360249</v>
      </c>
    </row>
    <row r="17" spans="1:14" x14ac:dyDescent="0.2">
      <c r="A17" t="s">
        <v>177</v>
      </c>
      <c r="B17" t="s">
        <v>31</v>
      </c>
      <c r="C17" s="1">
        <v>45502</v>
      </c>
      <c r="D17" t="s">
        <v>32</v>
      </c>
      <c r="E17" t="s">
        <v>33</v>
      </c>
      <c r="F17">
        <v>498</v>
      </c>
      <c r="G17">
        <v>701</v>
      </c>
      <c r="H17">
        <v>412</v>
      </c>
      <c r="I17">
        <v>4980</v>
      </c>
      <c r="J17">
        <v>4185</v>
      </c>
      <c r="K17">
        <v>185</v>
      </c>
      <c r="L17" t="s">
        <v>17</v>
      </c>
      <c r="M17" t="s">
        <v>57</v>
      </c>
      <c r="N17">
        <f>(Posts[[#This Row],[Likes]]+Posts[[#This Row],[Shares]]+Posts[[#This Row],[Comments]])/Posts[[#This Row],[Impressions]]</f>
        <v>0.32349397590361445</v>
      </c>
    </row>
    <row r="18" spans="1:14" x14ac:dyDescent="0.2">
      <c r="A18" t="s">
        <v>281</v>
      </c>
      <c r="B18" t="s">
        <v>38</v>
      </c>
      <c r="C18" s="1">
        <v>45790</v>
      </c>
      <c r="D18" t="s">
        <v>44</v>
      </c>
      <c r="E18" t="s">
        <v>49</v>
      </c>
      <c r="F18">
        <v>602</v>
      </c>
      <c r="G18">
        <v>594</v>
      </c>
      <c r="H18">
        <v>156</v>
      </c>
      <c r="I18">
        <v>4214</v>
      </c>
      <c r="J18">
        <v>3363</v>
      </c>
      <c r="K18">
        <v>164</v>
      </c>
      <c r="L18" t="s">
        <v>23</v>
      </c>
      <c r="M18" t="s">
        <v>29</v>
      </c>
      <c r="N18">
        <f>(Posts[[#This Row],[Likes]]+Posts[[#This Row],[Shares]]+Posts[[#This Row],[Comments]])/Posts[[#This Row],[Impressions]]</f>
        <v>0.32083531086853345</v>
      </c>
    </row>
    <row r="19" spans="1:14" x14ac:dyDescent="0.2">
      <c r="A19" t="s">
        <v>211</v>
      </c>
      <c r="B19" t="s">
        <v>31</v>
      </c>
      <c r="C19" s="1">
        <v>45574</v>
      </c>
      <c r="D19" t="s">
        <v>39</v>
      </c>
      <c r="E19" t="s">
        <v>68</v>
      </c>
      <c r="F19">
        <v>985</v>
      </c>
      <c r="G19">
        <v>932</v>
      </c>
      <c r="H19">
        <v>287</v>
      </c>
      <c r="I19">
        <v>6895</v>
      </c>
      <c r="J19">
        <v>6757</v>
      </c>
      <c r="K19">
        <v>64</v>
      </c>
      <c r="L19" t="s">
        <v>17</v>
      </c>
      <c r="M19" t="s">
        <v>35</v>
      </c>
      <c r="N19">
        <f>(Posts[[#This Row],[Likes]]+Posts[[#This Row],[Shares]]+Posts[[#This Row],[Comments]])/Posts[[#This Row],[Impressions]]</f>
        <v>0.31965192168237855</v>
      </c>
    </row>
    <row r="20" spans="1:14" x14ac:dyDescent="0.2">
      <c r="A20" t="s">
        <v>175</v>
      </c>
      <c r="B20" t="s">
        <v>31</v>
      </c>
      <c r="C20" s="1">
        <v>45695</v>
      </c>
      <c r="D20" t="s">
        <v>15</v>
      </c>
      <c r="E20" t="s">
        <v>64</v>
      </c>
      <c r="F20">
        <v>1970</v>
      </c>
      <c r="G20">
        <v>675</v>
      </c>
      <c r="H20">
        <v>478</v>
      </c>
      <c r="I20">
        <v>9850</v>
      </c>
      <c r="J20">
        <v>8924</v>
      </c>
      <c r="K20">
        <v>117</v>
      </c>
      <c r="L20" t="s">
        <v>17</v>
      </c>
      <c r="M20" t="s">
        <v>57</v>
      </c>
      <c r="N20">
        <f>(Posts[[#This Row],[Likes]]+Posts[[#This Row],[Shares]]+Posts[[#This Row],[Comments]])/Posts[[#This Row],[Impressions]]</f>
        <v>0.31705583756345179</v>
      </c>
    </row>
    <row r="21" spans="1:14" x14ac:dyDescent="0.2">
      <c r="A21" t="s">
        <v>344</v>
      </c>
      <c r="B21" t="s">
        <v>31</v>
      </c>
      <c r="C21" s="1">
        <v>45519</v>
      </c>
      <c r="D21" t="s">
        <v>15</v>
      </c>
      <c r="E21" t="s">
        <v>64</v>
      </c>
      <c r="F21">
        <v>1164</v>
      </c>
      <c r="G21">
        <v>616</v>
      </c>
      <c r="H21">
        <v>324</v>
      </c>
      <c r="I21">
        <v>6984</v>
      </c>
      <c r="J21">
        <v>6636</v>
      </c>
      <c r="K21">
        <v>82</v>
      </c>
      <c r="L21" t="s">
        <v>34</v>
      </c>
      <c r="M21" t="s">
        <v>18</v>
      </c>
      <c r="N21">
        <f>(Posts[[#This Row],[Likes]]+Posts[[#This Row],[Shares]]+Posts[[#This Row],[Comments]])/Posts[[#This Row],[Impressions]]</f>
        <v>0.30126002290950743</v>
      </c>
    </row>
    <row r="22" spans="1:14" x14ac:dyDescent="0.2">
      <c r="A22" t="s">
        <v>261</v>
      </c>
      <c r="B22" t="s">
        <v>31</v>
      </c>
      <c r="C22" s="1">
        <v>45658</v>
      </c>
      <c r="D22" t="s">
        <v>39</v>
      </c>
      <c r="E22" t="s">
        <v>68</v>
      </c>
      <c r="F22">
        <v>2234</v>
      </c>
      <c r="G22">
        <v>653</v>
      </c>
      <c r="H22">
        <v>432</v>
      </c>
      <c r="I22">
        <v>11170</v>
      </c>
      <c r="J22">
        <v>10569</v>
      </c>
      <c r="K22">
        <v>198</v>
      </c>
      <c r="L22" t="s">
        <v>17</v>
      </c>
      <c r="M22" t="s">
        <v>29</v>
      </c>
      <c r="N22">
        <f>(Posts[[#This Row],[Likes]]+Posts[[#This Row],[Shares]]+Posts[[#This Row],[Comments]])/Posts[[#This Row],[Impressions]]</f>
        <v>0.29713518352730528</v>
      </c>
    </row>
    <row r="23" spans="1:14" x14ac:dyDescent="0.2">
      <c r="A23" t="s">
        <v>120</v>
      </c>
      <c r="B23" t="s">
        <v>14</v>
      </c>
      <c r="C23" s="1">
        <v>45499</v>
      </c>
      <c r="D23" t="s">
        <v>39</v>
      </c>
      <c r="E23" t="s">
        <v>42</v>
      </c>
      <c r="F23">
        <v>432</v>
      </c>
      <c r="G23">
        <v>171</v>
      </c>
      <c r="H23">
        <v>280</v>
      </c>
      <c r="I23">
        <v>3024</v>
      </c>
      <c r="J23">
        <v>2285</v>
      </c>
      <c r="K23">
        <v>184</v>
      </c>
      <c r="L23" t="s">
        <v>34</v>
      </c>
      <c r="M23" t="s">
        <v>18</v>
      </c>
      <c r="N23">
        <f>(Posts[[#This Row],[Likes]]+Posts[[#This Row],[Shares]]+Posts[[#This Row],[Comments]])/Posts[[#This Row],[Impressions]]</f>
        <v>0.29199735449735448</v>
      </c>
    </row>
    <row r="24" spans="1:14" x14ac:dyDescent="0.2">
      <c r="A24" t="s">
        <v>240</v>
      </c>
      <c r="B24" t="s">
        <v>31</v>
      </c>
      <c r="C24" s="1">
        <v>45643</v>
      </c>
      <c r="D24" t="s">
        <v>32</v>
      </c>
      <c r="E24" t="s">
        <v>33</v>
      </c>
      <c r="F24">
        <v>360</v>
      </c>
      <c r="G24">
        <v>590</v>
      </c>
      <c r="H24">
        <v>393</v>
      </c>
      <c r="I24">
        <v>4680</v>
      </c>
      <c r="J24">
        <v>4322</v>
      </c>
      <c r="K24">
        <v>208</v>
      </c>
      <c r="L24" t="s">
        <v>17</v>
      </c>
      <c r="M24" t="s">
        <v>24</v>
      </c>
      <c r="N24">
        <f>(Posts[[#This Row],[Likes]]+Posts[[#This Row],[Shares]]+Posts[[#This Row],[Comments]])/Posts[[#This Row],[Impressions]]</f>
        <v>0.28696581196581195</v>
      </c>
    </row>
    <row r="25" spans="1:14" x14ac:dyDescent="0.2">
      <c r="A25" t="s">
        <v>80</v>
      </c>
      <c r="B25" t="s">
        <v>31</v>
      </c>
      <c r="C25" s="1">
        <v>45642</v>
      </c>
      <c r="D25" t="s">
        <v>21</v>
      </c>
      <c r="E25" t="s">
        <v>81</v>
      </c>
      <c r="F25">
        <v>438</v>
      </c>
      <c r="G25">
        <v>153</v>
      </c>
      <c r="H25">
        <v>275</v>
      </c>
      <c r="I25">
        <v>3066</v>
      </c>
      <c r="J25">
        <v>2701</v>
      </c>
      <c r="K25">
        <v>282</v>
      </c>
      <c r="L25" t="s">
        <v>23</v>
      </c>
      <c r="M25" t="s">
        <v>24</v>
      </c>
      <c r="N25">
        <f>(Posts[[#This Row],[Likes]]+Posts[[#This Row],[Shares]]+Posts[[#This Row],[Comments]])/Posts[[#This Row],[Impressions]]</f>
        <v>0.28245270711024134</v>
      </c>
    </row>
    <row r="26" spans="1:14" x14ac:dyDescent="0.2">
      <c r="A26" t="s">
        <v>149</v>
      </c>
      <c r="B26" t="s">
        <v>31</v>
      </c>
      <c r="C26" s="1">
        <v>45637</v>
      </c>
      <c r="D26" t="s">
        <v>59</v>
      </c>
      <c r="E26" t="s">
        <v>66</v>
      </c>
      <c r="F26">
        <v>1431</v>
      </c>
      <c r="G26">
        <v>951</v>
      </c>
      <c r="H26">
        <v>26</v>
      </c>
      <c r="I26">
        <v>8586</v>
      </c>
      <c r="J26">
        <v>8396</v>
      </c>
      <c r="K26">
        <v>150</v>
      </c>
      <c r="L26" t="s">
        <v>34</v>
      </c>
      <c r="M26" t="s">
        <v>29</v>
      </c>
      <c r="N26">
        <f>(Posts[[#This Row],[Likes]]+Posts[[#This Row],[Shares]]+Posts[[#This Row],[Comments]])/Posts[[#This Row],[Impressions]]</f>
        <v>0.28045655718611695</v>
      </c>
    </row>
    <row r="27" spans="1:14" x14ac:dyDescent="0.2">
      <c r="A27" t="s">
        <v>320</v>
      </c>
      <c r="B27" t="s">
        <v>31</v>
      </c>
      <c r="C27" s="1">
        <v>45524</v>
      </c>
      <c r="D27" t="s">
        <v>15</v>
      </c>
      <c r="E27" t="s">
        <v>64</v>
      </c>
      <c r="F27">
        <v>2603</v>
      </c>
      <c r="G27">
        <v>690</v>
      </c>
      <c r="H27">
        <v>205</v>
      </c>
      <c r="I27">
        <v>13015</v>
      </c>
      <c r="J27">
        <v>12130</v>
      </c>
      <c r="K27">
        <v>20</v>
      </c>
      <c r="L27" t="s">
        <v>17</v>
      </c>
      <c r="M27" t="s">
        <v>24</v>
      </c>
      <c r="N27">
        <f>(Posts[[#This Row],[Likes]]+Posts[[#This Row],[Shares]]+Posts[[#This Row],[Comments]])/Posts[[#This Row],[Impressions]]</f>
        <v>0.26876680752977333</v>
      </c>
    </row>
    <row r="28" spans="1:14" x14ac:dyDescent="0.2">
      <c r="A28" t="s">
        <v>305</v>
      </c>
      <c r="B28" t="s">
        <v>38</v>
      </c>
      <c r="C28" s="1">
        <v>45690</v>
      </c>
      <c r="D28" t="s">
        <v>32</v>
      </c>
      <c r="E28" t="s">
        <v>56</v>
      </c>
      <c r="F28">
        <v>886</v>
      </c>
      <c r="G28">
        <v>126</v>
      </c>
      <c r="H28">
        <v>153</v>
      </c>
      <c r="I28">
        <v>4430</v>
      </c>
      <c r="J28">
        <v>4037</v>
      </c>
      <c r="K28">
        <v>212</v>
      </c>
      <c r="L28" t="s">
        <v>34</v>
      </c>
      <c r="M28" t="s">
        <v>57</v>
      </c>
      <c r="N28">
        <f>(Posts[[#This Row],[Likes]]+Posts[[#This Row],[Shares]]+Posts[[#This Row],[Comments]])/Posts[[#This Row],[Impressions]]</f>
        <v>0.26297968397291194</v>
      </c>
    </row>
    <row r="29" spans="1:14" x14ac:dyDescent="0.2">
      <c r="A29" t="s">
        <v>301</v>
      </c>
      <c r="B29" t="s">
        <v>27</v>
      </c>
      <c r="C29" s="1">
        <v>45590</v>
      </c>
      <c r="D29" t="s">
        <v>59</v>
      </c>
      <c r="E29" t="s">
        <v>139</v>
      </c>
      <c r="F29">
        <v>4661</v>
      </c>
      <c r="G29">
        <v>935</v>
      </c>
      <c r="H29">
        <v>433</v>
      </c>
      <c r="I29">
        <v>23305</v>
      </c>
      <c r="J29">
        <v>22583</v>
      </c>
      <c r="K29">
        <v>63</v>
      </c>
      <c r="L29" t="s">
        <v>17</v>
      </c>
      <c r="M29" t="s">
        <v>29</v>
      </c>
      <c r="N29">
        <f>(Posts[[#This Row],[Likes]]+Posts[[#This Row],[Shares]]+Posts[[#This Row],[Comments]])/Posts[[#This Row],[Impressions]]</f>
        <v>0.25869984981763572</v>
      </c>
    </row>
    <row r="30" spans="1:14" x14ac:dyDescent="0.2">
      <c r="A30" t="s">
        <v>316</v>
      </c>
      <c r="B30" t="s">
        <v>38</v>
      </c>
      <c r="C30" s="1">
        <v>45698</v>
      </c>
      <c r="D30" t="s">
        <v>21</v>
      </c>
      <c r="E30" t="s">
        <v>47</v>
      </c>
      <c r="F30">
        <v>562</v>
      </c>
      <c r="G30">
        <v>158</v>
      </c>
      <c r="H30">
        <v>149</v>
      </c>
      <c r="I30">
        <v>3372</v>
      </c>
      <c r="J30">
        <v>2940</v>
      </c>
      <c r="K30">
        <v>93</v>
      </c>
      <c r="L30" t="s">
        <v>23</v>
      </c>
      <c r="M30" t="s">
        <v>18</v>
      </c>
      <c r="N30">
        <f>(Posts[[#This Row],[Likes]]+Posts[[#This Row],[Shares]]+Posts[[#This Row],[Comments]])/Posts[[#This Row],[Impressions]]</f>
        <v>0.25771055753262156</v>
      </c>
    </row>
    <row r="31" spans="1:14" x14ac:dyDescent="0.2">
      <c r="A31" t="s">
        <v>276</v>
      </c>
      <c r="B31" t="s">
        <v>14</v>
      </c>
      <c r="C31" s="1">
        <v>45685</v>
      </c>
      <c r="D31" t="s">
        <v>15</v>
      </c>
      <c r="E31" t="s">
        <v>16</v>
      </c>
      <c r="F31">
        <v>1188</v>
      </c>
      <c r="G31">
        <v>470</v>
      </c>
      <c r="H31">
        <v>174</v>
      </c>
      <c r="I31">
        <v>7128</v>
      </c>
      <c r="J31">
        <v>6145</v>
      </c>
      <c r="K31">
        <v>270</v>
      </c>
      <c r="L31" t="s">
        <v>23</v>
      </c>
      <c r="M31" t="s">
        <v>35</v>
      </c>
      <c r="N31">
        <f>(Posts[[#This Row],[Likes]]+Posts[[#This Row],[Shares]]+Posts[[#This Row],[Comments]])/Posts[[#This Row],[Impressions]]</f>
        <v>0.25701459034792368</v>
      </c>
    </row>
    <row r="32" spans="1:14" x14ac:dyDescent="0.2">
      <c r="A32" t="s">
        <v>283</v>
      </c>
      <c r="B32" t="s">
        <v>31</v>
      </c>
      <c r="C32" s="1">
        <v>45511</v>
      </c>
      <c r="D32" t="s">
        <v>39</v>
      </c>
      <c r="E32" t="s">
        <v>68</v>
      </c>
      <c r="F32">
        <v>1741</v>
      </c>
      <c r="G32">
        <v>164</v>
      </c>
      <c r="H32">
        <v>318</v>
      </c>
      <c r="I32">
        <v>8705</v>
      </c>
      <c r="J32">
        <v>8272</v>
      </c>
      <c r="K32">
        <v>121</v>
      </c>
      <c r="L32" t="s">
        <v>23</v>
      </c>
      <c r="M32" t="s">
        <v>57</v>
      </c>
      <c r="N32">
        <f>(Posts[[#This Row],[Likes]]+Posts[[#This Row],[Shares]]+Posts[[#This Row],[Comments]])/Posts[[#This Row],[Impressions]]</f>
        <v>0.25537047673750718</v>
      </c>
    </row>
    <row r="33" spans="1:14" x14ac:dyDescent="0.2">
      <c r="A33" t="s">
        <v>322</v>
      </c>
      <c r="B33" t="s">
        <v>14</v>
      </c>
      <c r="C33" s="1">
        <v>45708</v>
      </c>
      <c r="D33" t="s">
        <v>39</v>
      </c>
      <c r="E33" t="s">
        <v>42</v>
      </c>
      <c r="F33">
        <v>1877</v>
      </c>
      <c r="G33">
        <v>745</v>
      </c>
      <c r="H33">
        <v>225</v>
      </c>
      <c r="I33">
        <v>11262</v>
      </c>
      <c r="J33">
        <v>10967</v>
      </c>
      <c r="K33">
        <v>41</v>
      </c>
      <c r="L33" t="s">
        <v>34</v>
      </c>
      <c r="M33" t="s">
        <v>35</v>
      </c>
      <c r="N33">
        <f>(Posts[[#This Row],[Likes]]+Posts[[#This Row],[Shares]]+Posts[[#This Row],[Comments]])/Posts[[#This Row],[Impressions]]</f>
        <v>0.25279701651571657</v>
      </c>
    </row>
    <row r="34" spans="1:14" x14ac:dyDescent="0.2">
      <c r="A34" t="s">
        <v>296</v>
      </c>
      <c r="B34" t="s">
        <v>27</v>
      </c>
      <c r="C34" s="1">
        <v>45712</v>
      </c>
      <c r="D34" t="s">
        <v>21</v>
      </c>
      <c r="E34" t="s">
        <v>76</v>
      </c>
      <c r="F34">
        <v>4188</v>
      </c>
      <c r="G34">
        <v>942</v>
      </c>
      <c r="H34">
        <v>118</v>
      </c>
      <c r="I34">
        <v>20940</v>
      </c>
      <c r="J34">
        <v>20471</v>
      </c>
      <c r="K34">
        <v>102</v>
      </c>
      <c r="L34" t="s">
        <v>17</v>
      </c>
      <c r="M34" t="s">
        <v>57</v>
      </c>
      <c r="N34">
        <f>(Posts[[#This Row],[Likes]]+Posts[[#This Row],[Shares]]+Posts[[#This Row],[Comments]])/Posts[[#This Row],[Impressions]]</f>
        <v>0.25062082139446035</v>
      </c>
    </row>
    <row r="35" spans="1:14" x14ac:dyDescent="0.2">
      <c r="A35" t="s">
        <v>334</v>
      </c>
      <c r="B35" t="s">
        <v>38</v>
      </c>
      <c r="C35" s="1">
        <v>45753</v>
      </c>
      <c r="D35" t="s">
        <v>44</v>
      </c>
      <c r="E35" t="s">
        <v>49</v>
      </c>
      <c r="F35">
        <v>4236</v>
      </c>
      <c r="G35">
        <v>711</v>
      </c>
      <c r="H35">
        <v>298</v>
      </c>
      <c r="I35">
        <v>21180</v>
      </c>
      <c r="J35">
        <v>20516</v>
      </c>
      <c r="K35">
        <v>238</v>
      </c>
      <c r="L35" t="s">
        <v>17</v>
      </c>
      <c r="M35" t="s">
        <v>18</v>
      </c>
      <c r="N35">
        <f>(Posts[[#This Row],[Likes]]+Posts[[#This Row],[Shares]]+Posts[[#This Row],[Comments]])/Posts[[#This Row],[Impressions]]</f>
        <v>0.24763928234183191</v>
      </c>
    </row>
    <row r="36" spans="1:14" x14ac:dyDescent="0.2">
      <c r="A36" t="s">
        <v>354</v>
      </c>
      <c r="B36" t="s">
        <v>14</v>
      </c>
      <c r="C36" s="1">
        <v>45650</v>
      </c>
      <c r="D36" t="s">
        <v>21</v>
      </c>
      <c r="E36" t="s">
        <v>22</v>
      </c>
      <c r="F36">
        <v>2166</v>
      </c>
      <c r="G36">
        <v>354</v>
      </c>
      <c r="H36">
        <v>117</v>
      </c>
      <c r="I36">
        <v>10830</v>
      </c>
      <c r="J36">
        <v>10245</v>
      </c>
      <c r="K36">
        <v>24</v>
      </c>
      <c r="L36" t="s">
        <v>34</v>
      </c>
      <c r="M36" t="s">
        <v>35</v>
      </c>
      <c r="N36">
        <f>(Posts[[#This Row],[Likes]]+Posts[[#This Row],[Shares]]+Posts[[#This Row],[Comments]])/Posts[[#This Row],[Impressions]]</f>
        <v>0.24349030470914126</v>
      </c>
    </row>
    <row r="37" spans="1:14" x14ac:dyDescent="0.2">
      <c r="A37" t="s">
        <v>238</v>
      </c>
      <c r="B37" t="s">
        <v>27</v>
      </c>
      <c r="C37" s="1">
        <v>45737</v>
      </c>
      <c r="D37" t="s">
        <v>44</v>
      </c>
      <c r="E37" t="s">
        <v>45</v>
      </c>
      <c r="F37">
        <v>606</v>
      </c>
      <c r="G37">
        <v>789</v>
      </c>
      <c r="H37">
        <v>470</v>
      </c>
      <c r="I37">
        <v>7878</v>
      </c>
      <c r="J37">
        <v>7389</v>
      </c>
      <c r="K37">
        <v>239</v>
      </c>
      <c r="L37" t="s">
        <v>34</v>
      </c>
      <c r="M37" t="s">
        <v>29</v>
      </c>
      <c r="N37">
        <f>(Posts[[#This Row],[Likes]]+Posts[[#This Row],[Shares]]+Posts[[#This Row],[Comments]])/Posts[[#This Row],[Impressions]]</f>
        <v>0.23673521198273673</v>
      </c>
    </row>
    <row r="38" spans="1:14" x14ac:dyDescent="0.2">
      <c r="A38" t="s">
        <v>303</v>
      </c>
      <c r="B38" t="s">
        <v>38</v>
      </c>
      <c r="C38" s="1">
        <v>45576</v>
      </c>
      <c r="D38" t="s">
        <v>44</v>
      </c>
      <c r="E38" t="s">
        <v>49</v>
      </c>
      <c r="F38">
        <v>400</v>
      </c>
      <c r="G38">
        <v>680</v>
      </c>
      <c r="H38">
        <v>434</v>
      </c>
      <c r="I38">
        <v>6400</v>
      </c>
      <c r="J38">
        <v>5472</v>
      </c>
      <c r="K38">
        <v>160</v>
      </c>
      <c r="L38" t="s">
        <v>17</v>
      </c>
      <c r="M38" t="s">
        <v>24</v>
      </c>
      <c r="N38">
        <f>(Posts[[#This Row],[Likes]]+Posts[[#This Row],[Shares]]+Posts[[#This Row],[Comments]])/Posts[[#This Row],[Impressions]]</f>
        <v>0.23656250000000001</v>
      </c>
    </row>
    <row r="39" spans="1:14" x14ac:dyDescent="0.2">
      <c r="A39" t="s">
        <v>179</v>
      </c>
      <c r="B39" t="s">
        <v>31</v>
      </c>
      <c r="C39" s="1">
        <v>45457</v>
      </c>
      <c r="D39" t="s">
        <v>32</v>
      </c>
      <c r="E39" t="s">
        <v>33</v>
      </c>
      <c r="F39">
        <v>4363</v>
      </c>
      <c r="G39">
        <v>649</v>
      </c>
      <c r="H39">
        <v>140</v>
      </c>
      <c r="I39">
        <v>21815</v>
      </c>
      <c r="J39">
        <v>21481</v>
      </c>
      <c r="K39">
        <v>157</v>
      </c>
      <c r="L39" t="s">
        <v>34</v>
      </c>
      <c r="M39" t="s">
        <v>18</v>
      </c>
      <c r="N39">
        <f>(Posts[[#This Row],[Likes]]+Posts[[#This Row],[Shares]]+Posts[[#This Row],[Comments]])/Posts[[#This Row],[Impressions]]</f>
        <v>0.23616777446710979</v>
      </c>
    </row>
    <row r="40" spans="1:14" x14ac:dyDescent="0.2">
      <c r="A40" t="s">
        <v>176</v>
      </c>
      <c r="B40" t="s">
        <v>38</v>
      </c>
      <c r="C40" s="1">
        <v>45586</v>
      </c>
      <c r="D40" t="s">
        <v>32</v>
      </c>
      <c r="E40" t="s">
        <v>56</v>
      </c>
      <c r="F40">
        <v>780</v>
      </c>
      <c r="G40">
        <v>928</v>
      </c>
      <c r="H40">
        <v>301</v>
      </c>
      <c r="I40">
        <v>8580</v>
      </c>
      <c r="J40">
        <v>8081</v>
      </c>
      <c r="K40">
        <v>91</v>
      </c>
      <c r="L40" t="s">
        <v>34</v>
      </c>
      <c r="M40" t="s">
        <v>29</v>
      </c>
      <c r="N40">
        <f>(Posts[[#This Row],[Likes]]+Posts[[#This Row],[Shares]]+Posts[[#This Row],[Comments]])/Posts[[#This Row],[Impressions]]</f>
        <v>0.23414918414918415</v>
      </c>
    </row>
    <row r="41" spans="1:14" x14ac:dyDescent="0.2">
      <c r="A41" t="s">
        <v>198</v>
      </c>
      <c r="B41" t="s">
        <v>14</v>
      </c>
      <c r="C41" s="1">
        <v>45535</v>
      </c>
      <c r="D41" t="s">
        <v>44</v>
      </c>
      <c r="E41" t="s">
        <v>91</v>
      </c>
      <c r="F41">
        <v>3170</v>
      </c>
      <c r="G41">
        <v>857</v>
      </c>
      <c r="H41">
        <v>379</v>
      </c>
      <c r="I41">
        <v>19020</v>
      </c>
      <c r="J41">
        <v>18559</v>
      </c>
      <c r="K41">
        <v>240</v>
      </c>
      <c r="L41" t="s">
        <v>17</v>
      </c>
      <c r="M41" t="s">
        <v>57</v>
      </c>
      <c r="N41">
        <f>(Posts[[#This Row],[Likes]]+Posts[[#This Row],[Shares]]+Posts[[#This Row],[Comments]])/Posts[[#This Row],[Impressions]]</f>
        <v>0.2316508937960042</v>
      </c>
    </row>
    <row r="42" spans="1:14" x14ac:dyDescent="0.2">
      <c r="A42" t="s">
        <v>220</v>
      </c>
      <c r="B42" t="s">
        <v>31</v>
      </c>
      <c r="C42" s="1">
        <v>45755</v>
      </c>
      <c r="D42" t="s">
        <v>44</v>
      </c>
      <c r="E42" t="s">
        <v>137</v>
      </c>
      <c r="F42">
        <v>4501</v>
      </c>
      <c r="G42">
        <v>375</v>
      </c>
      <c r="H42">
        <v>323</v>
      </c>
      <c r="I42">
        <v>22505</v>
      </c>
      <c r="J42">
        <v>21836</v>
      </c>
      <c r="K42">
        <v>132</v>
      </c>
      <c r="L42" t="s">
        <v>23</v>
      </c>
      <c r="M42" t="s">
        <v>24</v>
      </c>
      <c r="N42">
        <f>(Posts[[#This Row],[Likes]]+Posts[[#This Row],[Shares]]+Posts[[#This Row],[Comments]])/Posts[[#This Row],[Impressions]]</f>
        <v>0.23101532992668297</v>
      </c>
    </row>
    <row r="43" spans="1:14" x14ac:dyDescent="0.2">
      <c r="A43" t="s">
        <v>326</v>
      </c>
      <c r="B43" t="s">
        <v>31</v>
      </c>
      <c r="C43" s="1">
        <v>45601</v>
      </c>
      <c r="D43" t="s">
        <v>59</v>
      </c>
      <c r="E43" t="s">
        <v>66</v>
      </c>
      <c r="F43">
        <v>4561</v>
      </c>
      <c r="G43">
        <v>51</v>
      </c>
      <c r="H43">
        <v>441</v>
      </c>
      <c r="I43">
        <v>22805</v>
      </c>
      <c r="J43">
        <v>21890</v>
      </c>
      <c r="K43">
        <v>45</v>
      </c>
      <c r="L43" t="s">
        <v>23</v>
      </c>
      <c r="M43" t="s">
        <v>24</v>
      </c>
      <c r="N43">
        <f>(Posts[[#This Row],[Likes]]+Posts[[#This Row],[Shares]]+Posts[[#This Row],[Comments]])/Posts[[#This Row],[Impressions]]</f>
        <v>0.22157421618066214</v>
      </c>
    </row>
    <row r="44" spans="1:14" x14ac:dyDescent="0.2">
      <c r="A44" t="s">
        <v>93</v>
      </c>
      <c r="B44" t="s">
        <v>27</v>
      </c>
      <c r="C44" s="1">
        <v>45721</v>
      </c>
      <c r="D44" t="s">
        <v>15</v>
      </c>
      <c r="E44" t="s">
        <v>28</v>
      </c>
      <c r="F44">
        <v>1543</v>
      </c>
      <c r="G44">
        <v>820</v>
      </c>
      <c r="H44">
        <v>333</v>
      </c>
      <c r="I44">
        <v>12344</v>
      </c>
      <c r="J44">
        <v>11496</v>
      </c>
      <c r="K44">
        <v>241</v>
      </c>
      <c r="L44" t="s">
        <v>34</v>
      </c>
      <c r="M44" t="s">
        <v>57</v>
      </c>
      <c r="N44">
        <f>(Posts[[#This Row],[Likes]]+Posts[[#This Row],[Shares]]+Posts[[#This Row],[Comments]])/Posts[[#This Row],[Impressions]]</f>
        <v>0.21840570317563188</v>
      </c>
    </row>
    <row r="45" spans="1:14" x14ac:dyDescent="0.2">
      <c r="A45" t="s">
        <v>94</v>
      </c>
      <c r="B45" t="s">
        <v>31</v>
      </c>
      <c r="C45" s="1">
        <v>45640</v>
      </c>
      <c r="D45" t="s">
        <v>39</v>
      </c>
      <c r="E45" t="s">
        <v>68</v>
      </c>
      <c r="F45">
        <v>2174</v>
      </c>
      <c r="G45">
        <v>658</v>
      </c>
      <c r="H45">
        <v>15</v>
      </c>
      <c r="I45">
        <v>13044</v>
      </c>
      <c r="J45">
        <v>12206</v>
      </c>
      <c r="K45">
        <v>137</v>
      </c>
      <c r="L45" t="s">
        <v>23</v>
      </c>
      <c r="M45" t="s">
        <v>29</v>
      </c>
      <c r="N45">
        <f>(Posts[[#This Row],[Likes]]+Posts[[#This Row],[Shares]]+Posts[[#This Row],[Comments]])/Posts[[#This Row],[Impressions]]</f>
        <v>0.21826126954921804</v>
      </c>
    </row>
    <row r="46" spans="1:14" x14ac:dyDescent="0.2">
      <c r="A46" t="s">
        <v>216</v>
      </c>
      <c r="B46" t="s">
        <v>38</v>
      </c>
      <c r="C46" s="1">
        <v>45621</v>
      </c>
      <c r="D46" t="s">
        <v>32</v>
      </c>
      <c r="E46" t="s">
        <v>56</v>
      </c>
      <c r="F46">
        <v>2120</v>
      </c>
      <c r="G46">
        <v>158</v>
      </c>
      <c r="H46">
        <v>488</v>
      </c>
      <c r="I46">
        <v>12720</v>
      </c>
      <c r="J46">
        <v>12085</v>
      </c>
      <c r="K46">
        <v>17</v>
      </c>
      <c r="L46" t="s">
        <v>17</v>
      </c>
      <c r="M46" t="s">
        <v>24</v>
      </c>
      <c r="N46">
        <f>(Posts[[#This Row],[Likes]]+Posts[[#This Row],[Shares]]+Posts[[#This Row],[Comments]])/Posts[[#This Row],[Impressions]]</f>
        <v>0.21745283018867925</v>
      </c>
    </row>
    <row r="47" spans="1:14" x14ac:dyDescent="0.2">
      <c r="A47" t="s">
        <v>203</v>
      </c>
      <c r="B47" t="s">
        <v>27</v>
      </c>
      <c r="C47" s="1">
        <v>45448</v>
      </c>
      <c r="D47" t="s">
        <v>15</v>
      </c>
      <c r="E47" t="s">
        <v>28</v>
      </c>
      <c r="F47">
        <v>3065</v>
      </c>
      <c r="G47">
        <v>772</v>
      </c>
      <c r="H47">
        <v>142</v>
      </c>
      <c r="I47">
        <v>18390</v>
      </c>
      <c r="J47">
        <v>17875</v>
      </c>
      <c r="K47">
        <v>200</v>
      </c>
      <c r="L47" t="s">
        <v>34</v>
      </c>
      <c r="M47" t="s">
        <v>57</v>
      </c>
      <c r="N47">
        <f>(Posts[[#This Row],[Likes]]+Posts[[#This Row],[Shares]]+Posts[[#This Row],[Comments]])/Posts[[#This Row],[Impressions]]</f>
        <v>0.21636759108210984</v>
      </c>
    </row>
    <row r="48" spans="1:14" x14ac:dyDescent="0.2">
      <c r="A48" t="s">
        <v>203</v>
      </c>
      <c r="B48" t="s">
        <v>27</v>
      </c>
      <c r="C48" s="1">
        <v>45448</v>
      </c>
      <c r="D48" t="s">
        <v>15</v>
      </c>
      <c r="E48" t="s">
        <v>28</v>
      </c>
      <c r="F48">
        <v>3065</v>
      </c>
      <c r="G48">
        <v>772</v>
      </c>
      <c r="H48">
        <v>142</v>
      </c>
      <c r="I48">
        <v>18390</v>
      </c>
      <c r="J48">
        <v>17875</v>
      </c>
      <c r="K48">
        <v>200</v>
      </c>
      <c r="L48" t="s">
        <v>19</v>
      </c>
      <c r="M48" t="s">
        <v>57</v>
      </c>
      <c r="N48">
        <f>(Posts[[#This Row],[Likes]]+Posts[[#This Row],[Shares]]+Posts[[#This Row],[Comments]])/Posts[[#This Row],[Impressions]]</f>
        <v>0.21636759108210984</v>
      </c>
    </row>
    <row r="49" spans="1:14" x14ac:dyDescent="0.2">
      <c r="A49" t="s">
        <v>78</v>
      </c>
      <c r="B49" t="s">
        <v>31</v>
      </c>
      <c r="C49" s="1">
        <v>45688</v>
      </c>
      <c r="D49" t="s">
        <v>39</v>
      </c>
      <c r="E49" t="s">
        <v>68</v>
      </c>
      <c r="F49">
        <v>2566</v>
      </c>
      <c r="G49">
        <v>118</v>
      </c>
      <c r="H49">
        <v>37</v>
      </c>
      <c r="I49">
        <v>12830</v>
      </c>
      <c r="J49">
        <v>12264</v>
      </c>
      <c r="K49">
        <v>221</v>
      </c>
      <c r="L49" t="s">
        <v>17</v>
      </c>
      <c r="M49" t="s">
        <v>29</v>
      </c>
      <c r="N49">
        <f>(Posts[[#This Row],[Likes]]+Posts[[#This Row],[Shares]]+Posts[[#This Row],[Comments]])/Posts[[#This Row],[Impressions]]</f>
        <v>0.21208106001558846</v>
      </c>
    </row>
    <row r="50" spans="1:14" x14ac:dyDescent="0.2">
      <c r="A50" t="s">
        <v>193</v>
      </c>
      <c r="B50" t="s">
        <v>38</v>
      </c>
      <c r="C50" s="1">
        <v>45504</v>
      </c>
      <c r="D50" t="s">
        <v>59</v>
      </c>
      <c r="E50" t="s">
        <v>60</v>
      </c>
      <c r="F50">
        <v>3008</v>
      </c>
      <c r="G50">
        <v>94</v>
      </c>
      <c r="H50">
        <v>37</v>
      </c>
      <c r="I50">
        <v>15040</v>
      </c>
      <c r="J50">
        <v>14639</v>
      </c>
      <c r="K50">
        <v>277</v>
      </c>
      <c r="L50" t="s">
        <v>17</v>
      </c>
      <c r="M50" t="s">
        <v>57</v>
      </c>
      <c r="N50">
        <f>(Posts[[#This Row],[Likes]]+Posts[[#This Row],[Shares]]+Posts[[#This Row],[Comments]])/Posts[[#This Row],[Impressions]]</f>
        <v>0.20871010638297871</v>
      </c>
    </row>
    <row r="51" spans="1:14" x14ac:dyDescent="0.2">
      <c r="A51" t="s">
        <v>143</v>
      </c>
      <c r="B51" t="s">
        <v>14</v>
      </c>
      <c r="C51" s="1">
        <v>45449</v>
      </c>
      <c r="D51" t="s">
        <v>59</v>
      </c>
      <c r="E51" t="s">
        <v>98</v>
      </c>
      <c r="F51">
        <v>1436</v>
      </c>
      <c r="G51">
        <v>765</v>
      </c>
      <c r="H51">
        <v>496</v>
      </c>
      <c r="I51">
        <v>12924</v>
      </c>
      <c r="J51">
        <v>12701</v>
      </c>
      <c r="K51">
        <v>197</v>
      </c>
      <c r="L51" t="s">
        <v>17</v>
      </c>
      <c r="M51" t="s">
        <v>29</v>
      </c>
      <c r="N51">
        <f>(Posts[[#This Row],[Likes]]+Posts[[#This Row],[Shares]]+Posts[[#This Row],[Comments]])/Posts[[#This Row],[Impressions]]</f>
        <v>0.20868152274837512</v>
      </c>
    </row>
    <row r="52" spans="1:14" x14ac:dyDescent="0.2">
      <c r="A52" t="s">
        <v>328</v>
      </c>
      <c r="B52" t="s">
        <v>31</v>
      </c>
      <c r="C52" s="1">
        <v>45582</v>
      </c>
      <c r="D52" t="s">
        <v>59</v>
      </c>
      <c r="E52" t="s">
        <v>66</v>
      </c>
      <c r="F52">
        <v>3575</v>
      </c>
      <c r="G52">
        <v>749</v>
      </c>
      <c r="H52">
        <v>111</v>
      </c>
      <c r="I52">
        <v>21450</v>
      </c>
      <c r="J52">
        <v>20785</v>
      </c>
      <c r="K52">
        <v>195</v>
      </c>
      <c r="L52" t="s">
        <v>34</v>
      </c>
      <c r="M52" t="s">
        <v>24</v>
      </c>
      <c r="N52">
        <f>(Posts[[#This Row],[Likes]]+Posts[[#This Row],[Shares]]+Posts[[#This Row],[Comments]])/Posts[[#This Row],[Impressions]]</f>
        <v>0.20675990675990677</v>
      </c>
    </row>
    <row r="53" spans="1:14" x14ac:dyDescent="0.2">
      <c r="A53" t="s">
        <v>131</v>
      </c>
      <c r="B53" t="s">
        <v>38</v>
      </c>
      <c r="C53" s="1">
        <v>45720</v>
      </c>
      <c r="D53" t="s">
        <v>32</v>
      </c>
      <c r="E53" t="s">
        <v>56</v>
      </c>
      <c r="F53">
        <v>1249</v>
      </c>
      <c r="G53">
        <v>116</v>
      </c>
      <c r="H53">
        <v>420</v>
      </c>
      <c r="I53">
        <v>8743</v>
      </c>
      <c r="J53">
        <v>8538</v>
      </c>
      <c r="K53">
        <v>63</v>
      </c>
      <c r="L53" t="s">
        <v>23</v>
      </c>
      <c r="M53" t="s">
        <v>57</v>
      </c>
      <c r="N53">
        <f>(Posts[[#This Row],[Likes]]+Posts[[#This Row],[Shares]]+Posts[[#This Row],[Comments]])/Posts[[#This Row],[Impressions]]</f>
        <v>0.20416333066453163</v>
      </c>
    </row>
    <row r="54" spans="1:14" x14ac:dyDescent="0.2">
      <c r="A54" t="s">
        <v>192</v>
      </c>
      <c r="B54" t="s">
        <v>31</v>
      </c>
      <c r="C54" s="1">
        <v>45484</v>
      </c>
      <c r="D54" t="s">
        <v>21</v>
      </c>
      <c r="E54" t="s">
        <v>81</v>
      </c>
      <c r="F54">
        <v>3134</v>
      </c>
      <c r="G54">
        <v>888</v>
      </c>
      <c r="H54">
        <v>444</v>
      </c>
      <c r="I54">
        <v>21938</v>
      </c>
      <c r="J54">
        <v>21337</v>
      </c>
      <c r="K54">
        <v>130</v>
      </c>
      <c r="L54" t="s">
        <v>34</v>
      </c>
      <c r="M54" t="s">
        <v>35</v>
      </c>
      <c r="N54">
        <f>(Posts[[#This Row],[Likes]]+Posts[[#This Row],[Shares]]+Posts[[#This Row],[Comments]])/Posts[[#This Row],[Impressions]]</f>
        <v>0.20357370772176134</v>
      </c>
    </row>
    <row r="55" spans="1:14" x14ac:dyDescent="0.2">
      <c r="A55" t="s">
        <v>315</v>
      </c>
      <c r="B55" t="s">
        <v>31</v>
      </c>
      <c r="C55" s="1">
        <v>45509</v>
      </c>
      <c r="D55" t="s">
        <v>32</v>
      </c>
      <c r="E55" t="s">
        <v>33</v>
      </c>
      <c r="F55">
        <v>3601</v>
      </c>
      <c r="G55">
        <v>695</v>
      </c>
      <c r="H55">
        <v>75</v>
      </c>
      <c r="I55">
        <v>21606</v>
      </c>
      <c r="J55">
        <v>21454</v>
      </c>
      <c r="K55">
        <v>172</v>
      </c>
      <c r="L55" t="s">
        <v>34</v>
      </c>
      <c r="M55" t="s">
        <v>24</v>
      </c>
      <c r="N55">
        <f>(Posts[[#This Row],[Likes]]+Posts[[#This Row],[Shares]]+Posts[[#This Row],[Comments]])/Posts[[#This Row],[Impressions]]</f>
        <v>0.2023049153013052</v>
      </c>
    </row>
    <row r="56" spans="1:14" x14ac:dyDescent="0.2">
      <c r="A56" t="s">
        <v>333</v>
      </c>
      <c r="B56" t="s">
        <v>14</v>
      </c>
      <c r="C56" s="1">
        <v>45450</v>
      </c>
      <c r="D56" t="s">
        <v>39</v>
      </c>
      <c r="E56" t="s">
        <v>42</v>
      </c>
      <c r="F56">
        <v>1556</v>
      </c>
      <c r="G56">
        <v>195</v>
      </c>
      <c r="H56">
        <v>131</v>
      </c>
      <c r="I56">
        <v>9336</v>
      </c>
      <c r="J56">
        <v>8875</v>
      </c>
      <c r="K56">
        <v>137</v>
      </c>
      <c r="L56" t="s">
        <v>23</v>
      </c>
      <c r="M56" t="s">
        <v>24</v>
      </c>
      <c r="N56">
        <f>(Posts[[#This Row],[Likes]]+Posts[[#This Row],[Shares]]+Posts[[#This Row],[Comments]])/Posts[[#This Row],[Impressions]]</f>
        <v>0.2015852613538989</v>
      </c>
    </row>
    <row r="57" spans="1:14" x14ac:dyDescent="0.2">
      <c r="A57" t="s">
        <v>205</v>
      </c>
      <c r="B57" t="s">
        <v>31</v>
      </c>
      <c r="C57" s="1">
        <v>45762</v>
      </c>
      <c r="D57" t="s">
        <v>59</v>
      </c>
      <c r="E57" t="s">
        <v>66</v>
      </c>
      <c r="F57">
        <v>4133</v>
      </c>
      <c r="G57">
        <v>466</v>
      </c>
      <c r="H57">
        <v>327</v>
      </c>
      <c r="I57">
        <v>24798</v>
      </c>
      <c r="J57">
        <v>24620</v>
      </c>
      <c r="K57">
        <v>176</v>
      </c>
      <c r="L57" t="s">
        <v>34</v>
      </c>
      <c r="M57" t="s">
        <v>35</v>
      </c>
      <c r="N57">
        <f>(Posts[[#This Row],[Likes]]+Posts[[#This Row],[Shares]]+Posts[[#This Row],[Comments]])/Posts[[#This Row],[Impressions]]</f>
        <v>0.19864505202032423</v>
      </c>
    </row>
    <row r="58" spans="1:14" x14ac:dyDescent="0.2">
      <c r="A58" t="s">
        <v>255</v>
      </c>
      <c r="B58" t="s">
        <v>14</v>
      </c>
      <c r="C58" s="1">
        <v>45549</v>
      </c>
      <c r="D58" t="s">
        <v>44</v>
      </c>
      <c r="E58" t="s">
        <v>91</v>
      </c>
      <c r="F58">
        <v>1048</v>
      </c>
      <c r="G58">
        <v>374</v>
      </c>
      <c r="H58">
        <v>450</v>
      </c>
      <c r="I58">
        <v>9432</v>
      </c>
      <c r="J58">
        <v>8882</v>
      </c>
      <c r="K58">
        <v>158</v>
      </c>
      <c r="L58" t="s">
        <v>23</v>
      </c>
      <c r="M58" t="s">
        <v>29</v>
      </c>
      <c r="N58">
        <f>(Posts[[#This Row],[Likes]]+Posts[[#This Row],[Shares]]+Posts[[#This Row],[Comments]])/Posts[[#This Row],[Impressions]]</f>
        <v>0.19847328244274809</v>
      </c>
    </row>
    <row r="59" spans="1:14" x14ac:dyDescent="0.2">
      <c r="A59" t="s">
        <v>209</v>
      </c>
      <c r="B59" t="s">
        <v>38</v>
      </c>
      <c r="C59" s="1">
        <v>45769</v>
      </c>
      <c r="D59" t="s">
        <v>44</v>
      </c>
      <c r="E59" t="s">
        <v>49</v>
      </c>
      <c r="F59">
        <v>4804</v>
      </c>
      <c r="G59">
        <v>550</v>
      </c>
      <c r="H59">
        <v>270</v>
      </c>
      <c r="I59">
        <v>28824</v>
      </c>
      <c r="J59">
        <v>28370</v>
      </c>
      <c r="K59">
        <v>47</v>
      </c>
      <c r="L59" t="s">
        <v>34</v>
      </c>
      <c r="M59" t="s">
        <v>35</v>
      </c>
      <c r="N59">
        <f>(Posts[[#This Row],[Likes]]+Posts[[#This Row],[Shares]]+Posts[[#This Row],[Comments]])/Posts[[#This Row],[Impressions]]</f>
        <v>0.19511518179295032</v>
      </c>
    </row>
    <row r="60" spans="1:14" x14ac:dyDescent="0.2">
      <c r="A60" t="s">
        <v>343</v>
      </c>
      <c r="B60" t="s">
        <v>27</v>
      </c>
      <c r="C60" s="1">
        <v>45560</v>
      </c>
      <c r="D60" t="s">
        <v>59</v>
      </c>
      <c r="E60" t="s">
        <v>139</v>
      </c>
      <c r="F60">
        <v>3389</v>
      </c>
      <c r="G60">
        <v>344</v>
      </c>
      <c r="H60">
        <v>229</v>
      </c>
      <c r="I60">
        <v>20334</v>
      </c>
      <c r="J60">
        <v>19443</v>
      </c>
      <c r="K60">
        <v>228</v>
      </c>
      <c r="L60" t="s">
        <v>17</v>
      </c>
      <c r="M60" t="s">
        <v>29</v>
      </c>
      <c r="N60">
        <f>(Posts[[#This Row],[Likes]]+Posts[[#This Row],[Shares]]+Posts[[#This Row],[Comments]])/Posts[[#This Row],[Impressions]]</f>
        <v>0.19484607062063539</v>
      </c>
    </row>
    <row r="61" spans="1:14" x14ac:dyDescent="0.2">
      <c r="A61" t="s">
        <v>122</v>
      </c>
      <c r="B61" t="s">
        <v>31</v>
      </c>
      <c r="C61" s="1">
        <v>45634</v>
      </c>
      <c r="D61" t="s">
        <v>32</v>
      </c>
      <c r="E61" t="s">
        <v>33</v>
      </c>
      <c r="F61">
        <v>2610</v>
      </c>
      <c r="G61">
        <v>126</v>
      </c>
      <c r="H61">
        <v>288</v>
      </c>
      <c r="I61">
        <v>15660</v>
      </c>
      <c r="J61">
        <v>15145</v>
      </c>
      <c r="K61">
        <v>73</v>
      </c>
      <c r="L61" t="s">
        <v>34</v>
      </c>
      <c r="M61" t="s">
        <v>57</v>
      </c>
      <c r="N61">
        <f>(Posts[[#This Row],[Likes]]+Posts[[#This Row],[Shares]]+Posts[[#This Row],[Comments]])/Posts[[#This Row],[Impressions]]</f>
        <v>0.19310344827586207</v>
      </c>
    </row>
    <row r="62" spans="1:14" x14ac:dyDescent="0.2">
      <c r="A62" t="s">
        <v>141</v>
      </c>
      <c r="B62" t="s">
        <v>31</v>
      </c>
      <c r="C62" s="1">
        <v>45766</v>
      </c>
      <c r="D62" t="s">
        <v>44</v>
      </c>
      <c r="E62" t="s">
        <v>137</v>
      </c>
      <c r="F62">
        <v>4177</v>
      </c>
      <c r="G62">
        <v>569</v>
      </c>
      <c r="H62">
        <v>55</v>
      </c>
      <c r="I62">
        <v>25062</v>
      </c>
      <c r="J62">
        <v>24847</v>
      </c>
      <c r="K62">
        <v>230</v>
      </c>
      <c r="L62" t="s">
        <v>17</v>
      </c>
      <c r="M62" t="s">
        <v>18</v>
      </c>
      <c r="N62">
        <f>(Posts[[#This Row],[Likes]]+Posts[[#This Row],[Shares]]+Posts[[#This Row],[Comments]])/Posts[[#This Row],[Impressions]]</f>
        <v>0.19156491900087783</v>
      </c>
    </row>
    <row r="63" spans="1:14" x14ac:dyDescent="0.2">
      <c r="A63" t="s">
        <v>82</v>
      </c>
      <c r="B63" t="s">
        <v>14</v>
      </c>
      <c r="C63" s="1">
        <v>45504</v>
      </c>
      <c r="D63" t="s">
        <v>39</v>
      </c>
      <c r="E63" t="s">
        <v>42</v>
      </c>
      <c r="F63">
        <v>2278</v>
      </c>
      <c r="G63">
        <v>10</v>
      </c>
      <c r="H63">
        <v>321</v>
      </c>
      <c r="I63">
        <v>13668</v>
      </c>
      <c r="J63">
        <v>12676</v>
      </c>
      <c r="K63">
        <v>275</v>
      </c>
      <c r="L63" t="s">
        <v>34</v>
      </c>
      <c r="M63" t="s">
        <v>18</v>
      </c>
      <c r="N63">
        <f>(Posts[[#This Row],[Likes]]+Posts[[#This Row],[Shares]]+Posts[[#This Row],[Comments]])/Posts[[#This Row],[Impressions]]</f>
        <v>0.19088381621305239</v>
      </c>
    </row>
    <row r="64" spans="1:14" x14ac:dyDescent="0.2">
      <c r="A64" t="s">
        <v>275</v>
      </c>
      <c r="B64" t="s">
        <v>38</v>
      </c>
      <c r="C64" s="1">
        <v>45454</v>
      </c>
      <c r="D64" t="s">
        <v>39</v>
      </c>
      <c r="E64" t="s">
        <v>40</v>
      </c>
      <c r="F64">
        <v>1869</v>
      </c>
      <c r="G64">
        <v>453</v>
      </c>
      <c r="H64">
        <v>490</v>
      </c>
      <c r="I64">
        <v>14952</v>
      </c>
      <c r="J64">
        <v>14309</v>
      </c>
      <c r="K64">
        <v>275</v>
      </c>
      <c r="L64" t="s">
        <v>23</v>
      </c>
      <c r="M64" t="s">
        <v>35</v>
      </c>
      <c r="N64">
        <f>(Posts[[#This Row],[Likes]]+Posts[[#This Row],[Shares]]+Posts[[#This Row],[Comments]])/Posts[[#This Row],[Impressions]]</f>
        <v>0.18806848582129482</v>
      </c>
    </row>
    <row r="65" spans="1:14" x14ac:dyDescent="0.2">
      <c r="A65" t="s">
        <v>268</v>
      </c>
      <c r="B65" t="s">
        <v>14</v>
      </c>
      <c r="C65" s="1">
        <v>45491</v>
      </c>
      <c r="D65" t="s">
        <v>39</v>
      </c>
      <c r="E65" t="s">
        <v>42</v>
      </c>
      <c r="F65">
        <v>2120</v>
      </c>
      <c r="G65">
        <v>38</v>
      </c>
      <c r="H65">
        <v>212</v>
      </c>
      <c r="I65">
        <v>12720</v>
      </c>
      <c r="J65">
        <v>12564</v>
      </c>
      <c r="K65">
        <v>21</v>
      </c>
      <c r="L65" t="s">
        <v>17</v>
      </c>
      <c r="M65" t="s">
        <v>35</v>
      </c>
      <c r="N65">
        <f>(Posts[[#This Row],[Likes]]+Posts[[#This Row],[Shares]]+Posts[[#This Row],[Comments]])/Posts[[#This Row],[Impressions]]</f>
        <v>0.18632075471698112</v>
      </c>
    </row>
    <row r="66" spans="1:14" x14ac:dyDescent="0.2">
      <c r="A66" t="s">
        <v>299</v>
      </c>
      <c r="B66" t="s">
        <v>38</v>
      </c>
      <c r="C66" s="1">
        <v>45480</v>
      </c>
      <c r="D66" t="s">
        <v>15</v>
      </c>
      <c r="E66" t="s">
        <v>52</v>
      </c>
      <c r="F66">
        <v>4767</v>
      </c>
      <c r="G66">
        <v>190</v>
      </c>
      <c r="H66">
        <v>340</v>
      </c>
      <c r="I66">
        <v>28602</v>
      </c>
      <c r="J66">
        <v>28044</v>
      </c>
      <c r="K66">
        <v>210</v>
      </c>
      <c r="L66" t="s">
        <v>34</v>
      </c>
      <c r="M66" t="s">
        <v>29</v>
      </c>
      <c r="N66">
        <f>(Posts[[#This Row],[Likes]]+Posts[[#This Row],[Shares]]+Posts[[#This Row],[Comments]])/Posts[[#This Row],[Impressions]]</f>
        <v>0.18519683938186141</v>
      </c>
    </row>
    <row r="67" spans="1:14" x14ac:dyDescent="0.2">
      <c r="A67" t="s">
        <v>92</v>
      </c>
      <c r="B67" t="s">
        <v>31</v>
      </c>
      <c r="C67" s="1">
        <v>45724</v>
      </c>
      <c r="D67" t="s">
        <v>15</v>
      </c>
      <c r="E67" t="s">
        <v>64</v>
      </c>
      <c r="F67">
        <v>456</v>
      </c>
      <c r="G67">
        <v>629</v>
      </c>
      <c r="H67">
        <v>428</v>
      </c>
      <c r="I67">
        <v>8208</v>
      </c>
      <c r="J67">
        <v>7377</v>
      </c>
      <c r="K67">
        <v>205</v>
      </c>
      <c r="L67" t="s">
        <v>17</v>
      </c>
      <c r="M67" t="s">
        <v>35</v>
      </c>
      <c r="N67">
        <f>(Posts[[#This Row],[Likes]]+Posts[[#This Row],[Shares]]+Posts[[#This Row],[Comments]])/Posts[[#This Row],[Impressions]]</f>
        <v>0.18433235867446393</v>
      </c>
    </row>
    <row r="68" spans="1:14" x14ac:dyDescent="0.2">
      <c r="A68" t="s">
        <v>351</v>
      </c>
      <c r="B68" t="s">
        <v>38</v>
      </c>
      <c r="C68" s="1">
        <v>45462</v>
      </c>
      <c r="D68" t="s">
        <v>39</v>
      </c>
      <c r="E68" t="s">
        <v>40</v>
      </c>
      <c r="F68">
        <v>4731</v>
      </c>
      <c r="G68">
        <v>173</v>
      </c>
      <c r="H68">
        <v>276</v>
      </c>
      <c r="I68">
        <v>28386</v>
      </c>
      <c r="J68">
        <v>28185</v>
      </c>
      <c r="K68">
        <v>89</v>
      </c>
      <c r="L68" t="s">
        <v>34</v>
      </c>
      <c r="M68" t="s">
        <v>29</v>
      </c>
      <c r="N68">
        <f>(Posts[[#This Row],[Likes]]+Posts[[#This Row],[Shares]]+Posts[[#This Row],[Comments]])/Posts[[#This Row],[Impressions]]</f>
        <v>0.18248432325794406</v>
      </c>
    </row>
    <row r="69" spans="1:14" x14ac:dyDescent="0.2">
      <c r="A69" t="s">
        <v>37</v>
      </c>
      <c r="B69" t="s">
        <v>38</v>
      </c>
      <c r="C69" s="1">
        <v>45596</v>
      </c>
      <c r="D69" t="s">
        <v>39</v>
      </c>
      <c r="E69" t="s">
        <v>40</v>
      </c>
      <c r="F69">
        <v>2945</v>
      </c>
      <c r="G69">
        <v>930</v>
      </c>
      <c r="H69">
        <v>355</v>
      </c>
      <c r="I69">
        <v>23560</v>
      </c>
      <c r="J69">
        <v>23275</v>
      </c>
      <c r="K69">
        <v>256</v>
      </c>
      <c r="L69" t="s">
        <v>23</v>
      </c>
      <c r="M69" t="s">
        <v>24</v>
      </c>
      <c r="N69">
        <f>(Posts[[#This Row],[Likes]]+Posts[[#This Row],[Shares]]+Posts[[#This Row],[Comments]])/Posts[[#This Row],[Impressions]]</f>
        <v>0.17954159592529711</v>
      </c>
    </row>
    <row r="70" spans="1:14" x14ac:dyDescent="0.2">
      <c r="A70" t="s">
        <v>210</v>
      </c>
      <c r="B70" t="s">
        <v>14</v>
      </c>
      <c r="C70" s="1">
        <v>45658</v>
      </c>
      <c r="D70" t="s">
        <v>59</v>
      </c>
      <c r="E70" t="s">
        <v>98</v>
      </c>
      <c r="F70">
        <v>754</v>
      </c>
      <c r="G70">
        <v>197</v>
      </c>
      <c r="H70">
        <v>257</v>
      </c>
      <c r="I70">
        <v>6786</v>
      </c>
      <c r="J70">
        <v>6221</v>
      </c>
      <c r="K70">
        <v>212</v>
      </c>
      <c r="L70" t="s">
        <v>23</v>
      </c>
      <c r="M70" t="s">
        <v>29</v>
      </c>
      <c r="N70">
        <f>(Posts[[#This Row],[Likes]]+Posts[[#This Row],[Shares]]+Posts[[#This Row],[Comments]])/Posts[[#This Row],[Impressions]]</f>
        <v>0.17801355732390214</v>
      </c>
    </row>
    <row r="71" spans="1:14" x14ac:dyDescent="0.2">
      <c r="A71" t="s">
        <v>87</v>
      </c>
      <c r="B71" t="s">
        <v>38</v>
      </c>
      <c r="C71" s="1">
        <v>45663</v>
      </c>
      <c r="D71" t="s">
        <v>39</v>
      </c>
      <c r="E71" t="s">
        <v>40</v>
      </c>
      <c r="F71">
        <v>3024</v>
      </c>
      <c r="G71">
        <v>925</v>
      </c>
      <c r="H71">
        <v>350</v>
      </c>
      <c r="I71">
        <v>24192</v>
      </c>
      <c r="J71">
        <v>23518</v>
      </c>
      <c r="K71">
        <v>36</v>
      </c>
      <c r="L71" t="s">
        <v>34</v>
      </c>
      <c r="M71" t="s">
        <v>24</v>
      </c>
      <c r="N71">
        <f>(Posts[[#This Row],[Likes]]+Posts[[#This Row],[Shares]]+Posts[[#This Row],[Comments]])/Posts[[#This Row],[Impressions]]</f>
        <v>0.17770337301587302</v>
      </c>
    </row>
    <row r="72" spans="1:14" x14ac:dyDescent="0.2">
      <c r="A72" t="s">
        <v>298</v>
      </c>
      <c r="B72" t="s">
        <v>38</v>
      </c>
      <c r="C72" s="1">
        <v>45675</v>
      </c>
      <c r="D72" t="s">
        <v>32</v>
      </c>
      <c r="E72" t="s">
        <v>56</v>
      </c>
      <c r="F72">
        <v>4321</v>
      </c>
      <c r="G72">
        <v>874</v>
      </c>
      <c r="H72">
        <v>172</v>
      </c>
      <c r="I72">
        <v>30247</v>
      </c>
      <c r="J72">
        <v>29254</v>
      </c>
      <c r="K72">
        <v>122</v>
      </c>
      <c r="L72" t="s">
        <v>23</v>
      </c>
      <c r="M72" t="s">
        <v>35</v>
      </c>
      <c r="N72">
        <f>(Posts[[#This Row],[Likes]]+Posts[[#This Row],[Shares]]+Posts[[#This Row],[Comments]])/Posts[[#This Row],[Impressions]]</f>
        <v>0.17743908486792079</v>
      </c>
    </row>
    <row r="73" spans="1:14" x14ac:dyDescent="0.2">
      <c r="A73" t="s">
        <v>168</v>
      </c>
      <c r="B73" t="s">
        <v>14</v>
      </c>
      <c r="C73" s="1">
        <v>45570</v>
      </c>
      <c r="D73" t="s">
        <v>32</v>
      </c>
      <c r="E73" t="s">
        <v>101</v>
      </c>
      <c r="F73">
        <v>1957</v>
      </c>
      <c r="G73">
        <v>877</v>
      </c>
      <c r="H73">
        <v>238</v>
      </c>
      <c r="I73">
        <v>17613</v>
      </c>
      <c r="J73">
        <v>16865</v>
      </c>
      <c r="K73">
        <v>297</v>
      </c>
      <c r="L73" t="s">
        <v>17</v>
      </c>
      <c r="M73" t="s">
        <v>29</v>
      </c>
      <c r="N73">
        <f>(Posts[[#This Row],[Likes]]+Posts[[#This Row],[Shares]]+Posts[[#This Row],[Comments]])/Posts[[#This Row],[Impressions]]</f>
        <v>0.17441662408448305</v>
      </c>
    </row>
    <row r="74" spans="1:14" x14ac:dyDescent="0.2">
      <c r="A74" t="s">
        <v>185</v>
      </c>
      <c r="B74" t="s">
        <v>14</v>
      </c>
      <c r="C74" s="1">
        <v>45494</v>
      </c>
      <c r="D74" t="s">
        <v>21</v>
      </c>
      <c r="E74" t="s">
        <v>22</v>
      </c>
      <c r="F74">
        <v>2147</v>
      </c>
      <c r="G74">
        <v>430</v>
      </c>
      <c r="H74">
        <v>393</v>
      </c>
      <c r="I74">
        <v>17176</v>
      </c>
      <c r="J74">
        <v>16483</v>
      </c>
      <c r="K74">
        <v>170</v>
      </c>
      <c r="L74" t="s">
        <v>23</v>
      </c>
      <c r="M74" t="s">
        <v>57</v>
      </c>
      <c r="N74">
        <f>(Posts[[#This Row],[Likes]]+Posts[[#This Row],[Shares]]+Posts[[#This Row],[Comments]])/Posts[[#This Row],[Impressions]]</f>
        <v>0.17291569632044715</v>
      </c>
    </row>
    <row r="75" spans="1:14" x14ac:dyDescent="0.2">
      <c r="A75" t="s">
        <v>77</v>
      </c>
      <c r="B75" t="s">
        <v>31</v>
      </c>
      <c r="C75" s="1">
        <v>45720</v>
      </c>
      <c r="D75" t="s">
        <v>59</v>
      </c>
      <c r="E75" t="s">
        <v>66</v>
      </c>
      <c r="F75">
        <v>432</v>
      </c>
      <c r="G75">
        <v>624</v>
      </c>
      <c r="H75">
        <v>123</v>
      </c>
      <c r="I75">
        <v>6912</v>
      </c>
      <c r="J75">
        <v>6259</v>
      </c>
      <c r="K75">
        <v>79</v>
      </c>
      <c r="L75" t="s">
        <v>17</v>
      </c>
      <c r="M75" t="s">
        <v>35</v>
      </c>
      <c r="N75">
        <f>(Posts[[#This Row],[Likes]]+Posts[[#This Row],[Shares]]+Posts[[#This Row],[Comments]])/Posts[[#This Row],[Impressions]]</f>
        <v>0.17057291666666666</v>
      </c>
    </row>
    <row r="76" spans="1:14" x14ac:dyDescent="0.2">
      <c r="A76" t="s">
        <v>97</v>
      </c>
      <c r="B76" t="s">
        <v>14</v>
      </c>
      <c r="C76" s="1">
        <v>45779</v>
      </c>
      <c r="D76" t="s">
        <v>59</v>
      </c>
      <c r="E76" t="s">
        <v>98</v>
      </c>
      <c r="F76">
        <v>1108</v>
      </c>
      <c r="G76">
        <v>177</v>
      </c>
      <c r="H76">
        <v>212</v>
      </c>
      <c r="I76">
        <v>8864</v>
      </c>
      <c r="J76">
        <v>8710</v>
      </c>
      <c r="K76">
        <v>97</v>
      </c>
      <c r="L76" t="s">
        <v>23</v>
      </c>
      <c r="M76" t="s">
        <v>35</v>
      </c>
      <c r="N76">
        <f>(Posts[[#This Row],[Likes]]+Posts[[#This Row],[Shares]]+Posts[[#This Row],[Comments]])/Posts[[#This Row],[Impressions]]</f>
        <v>0.16888537906137185</v>
      </c>
    </row>
    <row r="77" spans="1:14" x14ac:dyDescent="0.2">
      <c r="A77" t="s">
        <v>145</v>
      </c>
      <c r="B77" t="s">
        <v>14</v>
      </c>
      <c r="C77" s="1">
        <v>45667</v>
      </c>
      <c r="D77" t="s">
        <v>44</v>
      </c>
      <c r="E77" t="s">
        <v>91</v>
      </c>
      <c r="F77">
        <v>2214</v>
      </c>
      <c r="G77">
        <v>249</v>
      </c>
      <c r="H77">
        <v>152</v>
      </c>
      <c r="I77">
        <v>15498</v>
      </c>
      <c r="J77">
        <v>14800</v>
      </c>
      <c r="K77">
        <v>180</v>
      </c>
      <c r="L77" t="s">
        <v>34</v>
      </c>
      <c r="M77" t="s">
        <v>57</v>
      </c>
      <c r="N77">
        <f>(Posts[[#This Row],[Likes]]+Posts[[#This Row],[Shares]]+Posts[[#This Row],[Comments]])/Posts[[#This Row],[Impressions]]</f>
        <v>0.16873144921925409</v>
      </c>
    </row>
    <row r="78" spans="1:14" x14ac:dyDescent="0.2">
      <c r="A78" t="s">
        <v>150</v>
      </c>
      <c r="B78" t="s">
        <v>31</v>
      </c>
      <c r="C78" s="1">
        <v>45603</v>
      </c>
      <c r="D78" t="s">
        <v>44</v>
      </c>
      <c r="E78" t="s">
        <v>137</v>
      </c>
      <c r="F78">
        <v>2647</v>
      </c>
      <c r="G78">
        <v>304</v>
      </c>
      <c r="H78">
        <v>170</v>
      </c>
      <c r="I78">
        <v>18529</v>
      </c>
      <c r="J78">
        <v>17841</v>
      </c>
      <c r="K78">
        <v>46</v>
      </c>
      <c r="L78" t="s">
        <v>17</v>
      </c>
      <c r="M78" t="s">
        <v>29</v>
      </c>
      <c r="N78">
        <f>(Posts[[#This Row],[Likes]]+Posts[[#This Row],[Shares]]+Posts[[#This Row],[Comments]])/Posts[[#This Row],[Impressions]]</f>
        <v>0.16843866371633656</v>
      </c>
    </row>
    <row r="79" spans="1:14" x14ac:dyDescent="0.2">
      <c r="A79" t="s">
        <v>172</v>
      </c>
      <c r="B79" t="s">
        <v>27</v>
      </c>
      <c r="C79" s="1">
        <v>45734</v>
      </c>
      <c r="D79" t="s">
        <v>15</v>
      </c>
      <c r="E79" t="s">
        <v>28</v>
      </c>
      <c r="F79">
        <v>3704</v>
      </c>
      <c r="G79">
        <v>186</v>
      </c>
      <c r="H79">
        <v>458</v>
      </c>
      <c r="I79">
        <v>25928</v>
      </c>
      <c r="J79">
        <v>25081</v>
      </c>
      <c r="K79">
        <v>131</v>
      </c>
      <c r="L79" t="s">
        <v>23</v>
      </c>
      <c r="M79" t="s">
        <v>57</v>
      </c>
      <c r="N79">
        <f>(Posts[[#This Row],[Likes]]+Posts[[#This Row],[Shares]]+Posts[[#This Row],[Comments]])/Posts[[#This Row],[Impressions]]</f>
        <v>0.16769515581610614</v>
      </c>
    </row>
    <row r="80" spans="1:14" x14ac:dyDescent="0.2">
      <c r="A80" t="s">
        <v>332</v>
      </c>
      <c r="B80" t="s">
        <v>38</v>
      </c>
      <c r="C80" s="1">
        <v>45509</v>
      </c>
      <c r="D80" t="s">
        <v>15</v>
      </c>
      <c r="E80" t="s">
        <v>52</v>
      </c>
      <c r="F80">
        <v>1741</v>
      </c>
      <c r="G80">
        <v>831</v>
      </c>
      <c r="H80">
        <v>345</v>
      </c>
      <c r="I80">
        <v>17410</v>
      </c>
      <c r="J80">
        <v>16844</v>
      </c>
      <c r="K80">
        <v>58</v>
      </c>
      <c r="L80" t="s">
        <v>34</v>
      </c>
      <c r="M80" t="s">
        <v>29</v>
      </c>
      <c r="N80">
        <f>(Posts[[#This Row],[Likes]]+Posts[[#This Row],[Shares]]+Posts[[#This Row],[Comments]])/Posts[[#This Row],[Impressions]]</f>
        <v>0.16754738655944859</v>
      </c>
    </row>
    <row r="81" spans="1:14" x14ac:dyDescent="0.2">
      <c r="A81" t="s">
        <v>165</v>
      </c>
      <c r="B81" t="s">
        <v>14</v>
      </c>
      <c r="C81" s="1">
        <v>45512</v>
      </c>
      <c r="D81" t="s">
        <v>32</v>
      </c>
      <c r="E81" t="s">
        <v>101</v>
      </c>
      <c r="F81">
        <v>3649</v>
      </c>
      <c r="G81">
        <v>215</v>
      </c>
      <c r="H81">
        <v>413</v>
      </c>
      <c r="I81">
        <v>25543</v>
      </c>
      <c r="J81">
        <v>24963</v>
      </c>
      <c r="K81">
        <v>167</v>
      </c>
      <c r="L81" t="s">
        <v>17</v>
      </c>
      <c r="M81" t="s">
        <v>29</v>
      </c>
      <c r="N81">
        <f>(Posts[[#This Row],[Likes]]+Posts[[#This Row],[Shares]]+Posts[[#This Row],[Comments]])/Posts[[#This Row],[Impressions]]</f>
        <v>0.16744313510550835</v>
      </c>
    </row>
    <row r="82" spans="1:14" x14ac:dyDescent="0.2">
      <c r="A82" t="s">
        <v>99</v>
      </c>
      <c r="B82" t="s">
        <v>14</v>
      </c>
      <c r="C82" s="1">
        <v>45712</v>
      </c>
      <c r="D82" t="s">
        <v>39</v>
      </c>
      <c r="E82" t="s">
        <v>42</v>
      </c>
      <c r="F82">
        <v>2704</v>
      </c>
      <c r="G82">
        <v>752</v>
      </c>
      <c r="H82">
        <v>153</v>
      </c>
      <c r="I82">
        <v>21632</v>
      </c>
      <c r="J82">
        <v>20792</v>
      </c>
      <c r="K82">
        <v>127</v>
      </c>
      <c r="L82" t="s">
        <v>17</v>
      </c>
      <c r="M82" t="s">
        <v>57</v>
      </c>
      <c r="N82">
        <f>(Posts[[#This Row],[Likes]]+Posts[[#This Row],[Shares]]+Posts[[#This Row],[Comments]])/Posts[[#This Row],[Impressions]]</f>
        <v>0.16683616863905326</v>
      </c>
    </row>
    <row r="83" spans="1:14" x14ac:dyDescent="0.2">
      <c r="A83" t="s">
        <v>352</v>
      </c>
      <c r="B83" t="s">
        <v>14</v>
      </c>
      <c r="C83" s="1">
        <v>45783</v>
      </c>
      <c r="D83" t="s">
        <v>44</v>
      </c>
      <c r="E83" t="s">
        <v>91</v>
      </c>
      <c r="F83">
        <v>1952</v>
      </c>
      <c r="G83">
        <v>344</v>
      </c>
      <c r="H83">
        <v>287</v>
      </c>
      <c r="I83">
        <v>15616</v>
      </c>
      <c r="J83">
        <v>15403</v>
      </c>
      <c r="K83">
        <v>235</v>
      </c>
      <c r="L83" t="s">
        <v>17</v>
      </c>
      <c r="M83" t="s">
        <v>24</v>
      </c>
      <c r="N83">
        <f>(Posts[[#This Row],[Likes]]+Posts[[#This Row],[Shares]]+Posts[[#This Row],[Comments]])/Posts[[#This Row],[Impressions]]</f>
        <v>0.16540727459016394</v>
      </c>
    </row>
    <row r="84" spans="1:14" x14ac:dyDescent="0.2">
      <c r="A84" t="s">
        <v>352</v>
      </c>
      <c r="B84" t="s">
        <v>14</v>
      </c>
      <c r="C84" s="1">
        <v>45783</v>
      </c>
      <c r="D84" t="s">
        <v>44</v>
      </c>
      <c r="E84" t="s">
        <v>91</v>
      </c>
      <c r="F84">
        <v>1952</v>
      </c>
      <c r="G84">
        <v>344</v>
      </c>
      <c r="H84">
        <v>287</v>
      </c>
      <c r="I84">
        <v>15616</v>
      </c>
      <c r="J84">
        <v>15403</v>
      </c>
      <c r="K84">
        <v>235</v>
      </c>
      <c r="L84" t="s">
        <v>23</v>
      </c>
      <c r="M84" t="s">
        <v>24</v>
      </c>
      <c r="N84">
        <f>(Posts[[#This Row],[Likes]]+Posts[[#This Row],[Shares]]+Posts[[#This Row],[Comments]])/Posts[[#This Row],[Impressions]]</f>
        <v>0.16540727459016394</v>
      </c>
    </row>
    <row r="85" spans="1:14" x14ac:dyDescent="0.2">
      <c r="A85" t="s">
        <v>352</v>
      </c>
      <c r="B85" t="s">
        <v>14</v>
      </c>
      <c r="C85" s="1">
        <v>45783</v>
      </c>
      <c r="D85" t="s">
        <v>44</v>
      </c>
      <c r="E85" t="s">
        <v>91</v>
      </c>
      <c r="F85">
        <v>1952</v>
      </c>
      <c r="G85">
        <v>344</v>
      </c>
      <c r="H85">
        <v>287</v>
      </c>
      <c r="I85">
        <v>15616</v>
      </c>
      <c r="J85">
        <v>15403</v>
      </c>
      <c r="K85">
        <v>235</v>
      </c>
      <c r="L85" t="s">
        <v>19</v>
      </c>
      <c r="M85" t="s">
        <v>24</v>
      </c>
      <c r="N85">
        <f>(Posts[[#This Row],[Likes]]+Posts[[#This Row],[Shares]]+Posts[[#This Row],[Comments]])/Posts[[#This Row],[Impressions]]</f>
        <v>0.16540727459016394</v>
      </c>
    </row>
    <row r="86" spans="1:14" x14ac:dyDescent="0.2">
      <c r="A86" t="s">
        <v>108</v>
      </c>
      <c r="B86" t="s">
        <v>27</v>
      </c>
      <c r="C86" s="1">
        <v>45729</v>
      </c>
      <c r="D86" t="s">
        <v>39</v>
      </c>
      <c r="E86" t="s">
        <v>54</v>
      </c>
      <c r="F86">
        <v>1686</v>
      </c>
      <c r="G86">
        <v>904</v>
      </c>
      <c r="H86">
        <v>472</v>
      </c>
      <c r="I86">
        <v>18546</v>
      </c>
      <c r="J86">
        <v>18171</v>
      </c>
      <c r="K86">
        <v>52</v>
      </c>
      <c r="L86" t="s">
        <v>17</v>
      </c>
      <c r="M86" t="s">
        <v>24</v>
      </c>
      <c r="N86">
        <f>(Posts[[#This Row],[Likes]]+Posts[[#This Row],[Shares]]+Posts[[#This Row],[Comments]])/Posts[[#This Row],[Impressions]]</f>
        <v>0.16510298716704411</v>
      </c>
    </row>
    <row r="87" spans="1:14" x14ac:dyDescent="0.2">
      <c r="A87" t="s">
        <v>114</v>
      </c>
      <c r="B87" t="s">
        <v>31</v>
      </c>
      <c r="C87" s="1">
        <v>45685</v>
      </c>
      <c r="D87" t="s">
        <v>59</v>
      </c>
      <c r="E87" t="s">
        <v>66</v>
      </c>
      <c r="F87">
        <v>904</v>
      </c>
      <c r="G87">
        <v>973</v>
      </c>
      <c r="H87">
        <v>63</v>
      </c>
      <c r="I87">
        <v>11752</v>
      </c>
      <c r="J87">
        <v>11580</v>
      </c>
      <c r="K87">
        <v>84</v>
      </c>
      <c r="L87" t="s">
        <v>34</v>
      </c>
      <c r="M87" t="s">
        <v>29</v>
      </c>
      <c r="N87">
        <f>(Posts[[#This Row],[Likes]]+Posts[[#This Row],[Shares]]+Posts[[#This Row],[Comments]])/Posts[[#This Row],[Impressions]]</f>
        <v>0.1650782845473111</v>
      </c>
    </row>
    <row r="88" spans="1:14" x14ac:dyDescent="0.2">
      <c r="A88" t="s">
        <v>114</v>
      </c>
      <c r="B88" t="s">
        <v>31</v>
      </c>
      <c r="C88" s="1">
        <v>45685</v>
      </c>
      <c r="D88" t="s">
        <v>59</v>
      </c>
      <c r="E88" t="s">
        <v>66</v>
      </c>
      <c r="F88">
        <v>904</v>
      </c>
      <c r="G88">
        <v>973</v>
      </c>
      <c r="H88">
        <v>63</v>
      </c>
      <c r="I88">
        <v>11752</v>
      </c>
      <c r="J88">
        <v>11580</v>
      </c>
      <c r="K88">
        <v>84</v>
      </c>
      <c r="L88" t="s">
        <v>23</v>
      </c>
      <c r="M88" t="s">
        <v>29</v>
      </c>
      <c r="N88">
        <f>(Posts[[#This Row],[Likes]]+Posts[[#This Row],[Shares]]+Posts[[#This Row],[Comments]])/Posts[[#This Row],[Impressions]]</f>
        <v>0.1650782845473111</v>
      </c>
    </row>
    <row r="89" spans="1:14" x14ac:dyDescent="0.2">
      <c r="A89" t="s">
        <v>114</v>
      </c>
      <c r="B89" t="s">
        <v>31</v>
      </c>
      <c r="C89" s="1">
        <v>45685</v>
      </c>
      <c r="D89" t="s">
        <v>59</v>
      </c>
      <c r="E89" t="s">
        <v>66</v>
      </c>
      <c r="F89">
        <v>904</v>
      </c>
      <c r="G89">
        <v>973</v>
      </c>
      <c r="H89">
        <v>63</v>
      </c>
      <c r="I89">
        <v>11752</v>
      </c>
      <c r="J89">
        <v>11580</v>
      </c>
      <c r="K89">
        <v>84</v>
      </c>
      <c r="L89" t="s">
        <v>19</v>
      </c>
      <c r="M89" t="s">
        <v>29</v>
      </c>
      <c r="N89">
        <f>(Posts[[#This Row],[Likes]]+Posts[[#This Row],[Shares]]+Posts[[#This Row],[Comments]])/Posts[[#This Row],[Impressions]]</f>
        <v>0.1650782845473111</v>
      </c>
    </row>
    <row r="90" spans="1:14" x14ac:dyDescent="0.2">
      <c r="A90" t="s">
        <v>138</v>
      </c>
      <c r="B90" t="s">
        <v>27</v>
      </c>
      <c r="C90" s="1">
        <v>45580</v>
      </c>
      <c r="D90" t="s">
        <v>59</v>
      </c>
      <c r="E90" t="s">
        <v>139</v>
      </c>
      <c r="F90">
        <v>1094</v>
      </c>
      <c r="G90">
        <v>472</v>
      </c>
      <c r="H90">
        <v>21</v>
      </c>
      <c r="I90">
        <v>9846</v>
      </c>
      <c r="J90">
        <v>9609</v>
      </c>
      <c r="K90">
        <v>112</v>
      </c>
      <c r="L90" t="s">
        <v>34</v>
      </c>
      <c r="M90" t="s">
        <v>57</v>
      </c>
      <c r="N90">
        <f>(Posts[[#This Row],[Likes]]+Posts[[#This Row],[Shares]]+Posts[[#This Row],[Comments]])/Posts[[#This Row],[Impressions]]</f>
        <v>0.16118220597196831</v>
      </c>
    </row>
    <row r="91" spans="1:14" x14ac:dyDescent="0.2">
      <c r="A91" t="s">
        <v>194</v>
      </c>
      <c r="B91" t="s">
        <v>14</v>
      </c>
      <c r="C91" s="1">
        <v>45745</v>
      </c>
      <c r="D91" t="s">
        <v>44</v>
      </c>
      <c r="E91" t="s">
        <v>91</v>
      </c>
      <c r="F91">
        <v>305</v>
      </c>
      <c r="G91">
        <v>187</v>
      </c>
      <c r="H91">
        <v>243</v>
      </c>
      <c r="I91">
        <v>4575</v>
      </c>
      <c r="J91">
        <v>3704</v>
      </c>
      <c r="K91">
        <v>234</v>
      </c>
      <c r="L91" t="s">
        <v>17</v>
      </c>
      <c r="M91" t="s">
        <v>29</v>
      </c>
      <c r="N91">
        <f>(Posts[[#This Row],[Likes]]+Posts[[#This Row],[Shares]]+Posts[[#This Row],[Comments]])/Posts[[#This Row],[Impressions]]</f>
        <v>0.16065573770491803</v>
      </c>
    </row>
    <row r="92" spans="1:14" x14ac:dyDescent="0.2">
      <c r="A92" t="s">
        <v>278</v>
      </c>
      <c r="B92" t="s">
        <v>38</v>
      </c>
      <c r="C92" s="1">
        <v>45739</v>
      </c>
      <c r="D92" t="s">
        <v>59</v>
      </c>
      <c r="E92" t="s">
        <v>60</v>
      </c>
      <c r="F92">
        <v>4453</v>
      </c>
      <c r="G92">
        <v>111</v>
      </c>
      <c r="H92">
        <v>420</v>
      </c>
      <c r="I92">
        <v>31171</v>
      </c>
      <c r="J92">
        <v>30565</v>
      </c>
      <c r="K92">
        <v>23</v>
      </c>
      <c r="L92" t="s">
        <v>23</v>
      </c>
      <c r="M92" t="s">
        <v>57</v>
      </c>
      <c r="N92">
        <f>(Posts[[#This Row],[Likes]]+Posts[[#This Row],[Shares]]+Posts[[#This Row],[Comments]])/Posts[[#This Row],[Impressions]]</f>
        <v>0.15989220750056141</v>
      </c>
    </row>
    <row r="93" spans="1:14" x14ac:dyDescent="0.2">
      <c r="A93" t="s">
        <v>309</v>
      </c>
      <c r="B93" t="s">
        <v>38</v>
      </c>
      <c r="C93" s="1">
        <v>45775</v>
      </c>
      <c r="D93" t="s">
        <v>39</v>
      </c>
      <c r="E93" t="s">
        <v>40</v>
      </c>
      <c r="F93">
        <v>2089</v>
      </c>
      <c r="G93">
        <v>476</v>
      </c>
      <c r="H93">
        <v>69</v>
      </c>
      <c r="I93">
        <v>16712</v>
      </c>
      <c r="J93">
        <v>16309</v>
      </c>
      <c r="K93">
        <v>64</v>
      </c>
      <c r="L93" t="s">
        <v>17</v>
      </c>
      <c r="M93" t="s">
        <v>29</v>
      </c>
      <c r="N93">
        <f>(Posts[[#This Row],[Likes]]+Posts[[#This Row],[Shares]]+Posts[[#This Row],[Comments]])/Posts[[#This Row],[Impressions]]</f>
        <v>0.15761129727142173</v>
      </c>
    </row>
    <row r="94" spans="1:14" x14ac:dyDescent="0.2">
      <c r="A94" t="s">
        <v>106</v>
      </c>
      <c r="B94" t="s">
        <v>38</v>
      </c>
      <c r="C94" s="1">
        <v>45660</v>
      </c>
      <c r="D94" t="s">
        <v>44</v>
      </c>
      <c r="E94" t="s">
        <v>49</v>
      </c>
      <c r="F94">
        <v>947</v>
      </c>
      <c r="G94">
        <v>338</v>
      </c>
      <c r="H94">
        <v>350</v>
      </c>
      <c r="I94">
        <v>10417</v>
      </c>
      <c r="J94">
        <v>9730</v>
      </c>
      <c r="K94">
        <v>34</v>
      </c>
      <c r="L94" t="s">
        <v>23</v>
      </c>
      <c r="M94" t="s">
        <v>35</v>
      </c>
      <c r="N94">
        <f>(Posts[[#This Row],[Likes]]+Posts[[#This Row],[Shares]]+Posts[[#This Row],[Comments]])/Posts[[#This Row],[Impressions]]</f>
        <v>0.1569549774407219</v>
      </c>
    </row>
    <row r="95" spans="1:14" x14ac:dyDescent="0.2">
      <c r="A95" t="s">
        <v>196</v>
      </c>
      <c r="B95" t="s">
        <v>38</v>
      </c>
      <c r="C95" s="1">
        <v>45488</v>
      </c>
      <c r="D95" t="s">
        <v>44</v>
      </c>
      <c r="E95" t="s">
        <v>49</v>
      </c>
      <c r="F95">
        <v>2291</v>
      </c>
      <c r="G95">
        <v>78</v>
      </c>
      <c r="H95">
        <v>485</v>
      </c>
      <c r="I95">
        <v>18328</v>
      </c>
      <c r="J95">
        <v>18101</v>
      </c>
      <c r="K95">
        <v>10</v>
      </c>
      <c r="L95" t="s">
        <v>34</v>
      </c>
      <c r="M95" t="s">
        <v>24</v>
      </c>
      <c r="N95">
        <f>(Posts[[#This Row],[Likes]]+Posts[[#This Row],[Shares]]+Posts[[#This Row],[Comments]])/Posts[[#This Row],[Impressions]]</f>
        <v>0.15571802706241816</v>
      </c>
    </row>
    <row r="96" spans="1:14" x14ac:dyDescent="0.2">
      <c r="A96" t="s">
        <v>196</v>
      </c>
      <c r="B96" t="s">
        <v>38</v>
      </c>
      <c r="C96" s="1">
        <v>45488</v>
      </c>
      <c r="D96" t="s">
        <v>44</v>
      </c>
      <c r="E96" t="s">
        <v>49</v>
      </c>
      <c r="F96">
        <v>2291</v>
      </c>
      <c r="G96">
        <v>78</v>
      </c>
      <c r="H96">
        <v>485</v>
      </c>
      <c r="I96">
        <v>18328</v>
      </c>
      <c r="J96">
        <v>18101</v>
      </c>
      <c r="K96">
        <v>10</v>
      </c>
      <c r="L96" t="s">
        <v>197</v>
      </c>
      <c r="M96" t="s">
        <v>24</v>
      </c>
      <c r="N96">
        <f>(Posts[[#This Row],[Likes]]+Posts[[#This Row],[Shares]]+Posts[[#This Row],[Comments]])/Posts[[#This Row],[Impressions]]</f>
        <v>0.15571802706241816</v>
      </c>
    </row>
    <row r="97" spans="1:14" x14ac:dyDescent="0.2">
      <c r="A97" t="s">
        <v>222</v>
      </c>
      <c r="B97" t="s">
        <v>14</v>
      </c>
      <c r="C97" s="1">
        <v>45637</v>
      </c>
      <c r="D97" t="s">
        <v>21</v>
      </c>
      <c r="E97" t="s">
        <v>22</v>
      </c>
      <c r="F97">
        <v>3239</v>
      </c>
      <c r="G97">
        <v>43</v>
      </c>
      <c r="H97">
        <v>211</v>
      </c>
      <c r="I97">
        <v>22673</v>
      </c>
      <c r="J97">
        <v>22171</v>
      </c>
      <c r="K97">
        <v>230</v>
      </c>
      <c r="L97" t="s">
        <v>23</v>
      </c>
      <c r="M97" t="s">
        <v>24</v>
      </c>
      <c r="N97">
        <f>(Posts[[#This Row],[Likes]]+Posts[[#This Row],[Shares]]+Posts[[#This Row],[Comments]])/Posts[[#This Row],[Impressions]]</f>
        <v>0.15405989502933004</v>
      </c>
    </row>
    <row r="98" spans="1:14" x14ac:dyDescent="0.2">
      <c r="A98" t="s">
        <v>221</v>
      </c>
      <c r="B98" t="s">
        <v>27</v>
      </c>
      <c r="C98" s="1">
        <v>45715</v>
      </c>
      <c r="D98" t="s">
        <v>21</v>
      </c>
      <c r="E98" t="s">
        <v>76</v>
      </c>
      <c r="F98">
        <v>4934</v>
      </c>
      <c r="G98">
        <v>971</v>
      </c>
      <c r="H98">
        <v>156</v>
      </c>
      <c r="I98">
        <v>39472</v>
      </c>
      <c r="J98">
        <v>39025</v>
      </c>
      <c r="K98">
        <v>169</v>
      </c>
      <c r="L98" t="s">
        <v>23</v>
      </c>
      <c r="M98" t="s">
        <v>35</v>
      </c>
      <c r="N98">
        <f>(Posts[[#This Row],[Likes]]+Posts[[#This Row],[Shares]]+Posts[[#This Row],[Comments]])/Posts[[#This Row],[Impressions]]</f>
        <v>0.15355188488042157</v>
      </c>
    </row>
    <row r="99" spans="1:14" x14ac:dyDescent="0.2">
      <c r="A99" t="s">
        <v>221</v>
      </c>
      <c r="B99" t="s">
        <v>27</v>
      </c>
      <c r="C99" s="1">
        <v>45715</v>
      </c>
      <c r="D99" t="s">
        <v>21</v>
      </c>
      <c r="E99" t="s">
        <v>76</v>
      </c>
      <c r="F99">
        <v>4934</v>
      </c>
      <c r="G99">
        <v>971</v>
      </c>
      <c r="H99">
        <v>156</v>
      </c>
      <c r="I99">
        <v>39472</v>
      </c>
      <c r="J99">
        <v>39025</v>
      </c>
      <c r="K99">
        <v>169</v>
      </c>
      <c r="L99" t="s">
        <v>19</v>
      </c>
      <c r="M99" t="s">
        <v>35</v>
      </c>
      <c r="N99">
        <f>(Posts[[#This Row],[Likes]]+Posts[[#This Row],[Shares]]+Posts[[#This Row],[Comments]])/Posts[[#This Row],[Impressions]]</f>
        <v>0.15355188488042157</v>
      </c>
    </row>
    <row r="100" spans="1:14" x14ac:dyDescent="0.2">
      <c r="A100" t="s">
        <v>319</v>
      </c>
      <c r="B100" t="s">
        <v>27</v>
      </c>
      <c r="C100" s="1">
        <v>45675</v>
      </c>
      <c r="D100" t="s">
        <v>44</v>
      </c>
      <c r="E100" t="s">
        <v>45</v>
      </c>
      <c r="F100">
        <v>1206</v>
      </c>
      <c r="G100">
        <v>238</v>
      </c>
      <c r="H100">
        <v>36</v>
      </c>
      <c r="I100">
        <v>9648</v>
      </c>
      <c r="J100">
        <v>9417</v>
      </c>
      <c r="K100">
        <v>237</v>
      </c>
      <c r="L100" t="s">
        <v>23</v>
      </c>
      <c r="M100" t="s">
        <v>57</v>
      </c>
      <c r="N100">
        <f>(Posts[[#This Row],[Likes]]+Posts[[#This Row],[Shares]]+Posts[[#This Row],[Comments]])/Posts[[#This Row],[Impressions]]</f>
        <v>0.15339966832504145</v>
      </c>
    </row>
    <row r="101" spans="1:14" x14ac:dyDescent="0.2">
      <c r="A101" t="s">
        <v>204</v>
      </c>
      <c r="B101" t="s">
        <v>31</v>
      </c>
      <c r="C101" s="1">
        <v>45586</v>
      </c>
      <c r="D101" t="s">
        <v>15</v>
      </c>
      <c r="E101" t="s">
        <v>64</v>
      </c>
      <c r="F101">
        <v>3256</v>
      </c>
      <c r="G101">
        <v>459</v>
      </c>
      <c r="H101">
        <v>266</v>
      </c>
      <c r="I101">
        <v>26048</v>
      </c>
      <c r="J101">
        <v>25529</v>
      </c>
      <c r="K101">
        <v>143</v>
      </c>
      <c r="L101" t="s">
        <v>23</v>
      </c>
      <c r="M101" t="s">
        <v>24</v>
      </c>
      <c r="N101">
        <f>(Posts[[#This Row],[Likes]]+Posts[[#This Row],[Shares]]+Posts[[#This Row],[Comments]])/Posts[[#This Row],[Impressions]]</f>
        <v>0.15283323095823095</v>
      </c>
    </row>
    <row r="102" spans="1:14" x14ac:dyDescent="0.2">
      <c r="A102" t="s">
        <v>30</v>
      </c>
      <c r="B102" t="s">
        <v>31</v>
      </c>
      <c r="C102" s="1">
        <v>45516</v>
      </c>
      <c r="D102" t="s">
        <v>32</v>
      </c>
      <c r="E102" t="s">
        <v>33</v>
      </c>
      <c r="F102">
        <v>2404</v>
      </c>
      <c r="G102">
        <v>363</v>
      </c>
      <c r="H102">
        <v>138</v>
      </c>
      <c r="I102">
        <v>19232</v>
      </c>
      <c r="J102">
        <v>18636</v>
      </c>
      <c r="K102">
        <v>128</v>
      </c>
      <c r="L102" t="s">
        <v>34</v>
      </c>
      <c r="M102" t="s">
        <v>35</v>
      </c>
      <c r="N102">
        <f>(Posts[[#This Row],[Likes]]+Posts[[#This Row],[Shares]]+Posts[[#This Row],[Comments]])/Posts[[#This Row],[Impressions]]</f>
        <v>0.15105033277870217</v>
      </c>
    </row>
    <row r="103" spans="1:14" x14ac:dyDescent="0.2">
      <c r="A103" t="s">
        <v>55</v>
      </c>
      <c r="B103" t="s">
        <v>38</v>
      </c>
      <c r="C103" s="1">
        <v>45704</v>
      </c>
      <c r="D103" t="s">
        <v>32</v>
      </c>
      <c r="E103" t="s">
        <v>56</v>
      </c>
      <c r="F103">
        <v>4242</v>
      </c>
      <c r="G103">
        <v>555</v>
      </c>
      <c r="H103">
        <v>131</v>
      </c>
      <c r="I103">
        <v>33936</v>
      </c>
      <c r="J103">
        <v>33802</v>
      </c>
      <c r="K103">
        <v>265</v>
      </c>
      <c r="L103" t="s">
        <v>17</v>
      </c>
      <c r="M103" t="s">
        <v>57</v>
      </c>
      <c r="N103">
        <f>(Posts[[#This Row],[Likes]]+Posts[[#This Row],[Shares]]+Posts[[#This Row],[Comments]])/Posts[[#This Row],[Impressions]]</f>
        <v>0.14521452145214522</v>
      </c>
    </row>
    <row r="104" spans="1:14" x14ac:dyDescent="0.2">
      <c r="A104" t="s">
        <v>249</v>
      </c>
      <c r="B104" t="s">
        <v>31</v>
      </c>
      <c r="C104" s="1">
        <v>45625</v>
      </c>
      <c r="D104" t="s">
        <v>59</v>
      </c>
      <c r="E104" t="s">
        <v>66</v>
      </c>
      <c r="F104">
        <v>1176</v>
      </c>
      <c r="G104">
        <v>464</v>
      </c>
      <c r="H104">
        <v>394</v>
      </c>
      <c r="I104">
        <v>14112</v>
      </c>
      <c r="J104">
        <v>13588</v>
      </c>
      <c r="K104">
        <v>272</v>
      </c>
      <c r="L104" t="s">
        <v>34</v>
      </c>
      <c r="M104" t="s">
        <v>57</v>
      </c>
      <c r="N104">
        <f>(Posts[[#This Row],[Likes]]+Posts[[#This Row],[Shares]]+Posts[[#This Row],[Comments]])/Posts[[#This Row],[Impressions]]</f>
        <v>0.1441326530612245</v>
      </c>
    </row>
    <row r="105" spans="1:14" x14ac:dyDescent="0.2">
      <c r="A105" t="s">
        <v>230</v>
      </c>
      <c r="B105" t="s">
        <v>14</v>
      </c>
      <c r="C105" s="1">
        <v>45631</v>
      </c>
      <c r="D105" t="s">
        <v>59</v>
      </c>
      <c r="E105" t="s">
        <v>98</v>
      </c>
      <c r="F105">
        <v>1330</v>
      </c>
      <c r="G105">
        <v>925</v>
      </c>
      <c r="H105">
        <v>35</v>
      </c>
      <c r="I105">
        <v>15960</v>
      </c>
      <c r="J105">
        <v>15379</v>
      </c>
      <c r="K105">
        <v>229</v>
      </c>
      <c r="L105" t="s">
        <v>17</v>
      </c>
      <c r="M105" t="s">
        <v>29</v>
      </c>
      <c r="N105">
        <f>(Posts[[#This Row],[Likes]]+Posts[[#This Row],[Shares]]+Posts[[#This Row],[Comments]])/Posts[[#This Row],[Impressions]]</f>
        <v>0.14348370927318296</v>
      </c>
    </row>
    <row r="106" spans="1:14" x14ac:dyDescent="0.2">
      <c r="A106" t="s">
        <v>223</v>
      </c>
      <c r="B106" t="s">
        <v>14</v>
      </c>
      <c r="C106" s="1">
        <v>45704</v>
      </c>
      <c r="D106" t="s">
        <v>15</v>
      </c>
      <c r="E106" t="s">
        <v>16</v>
      </c>
      <c r="F106">
        <v>1076</v>
      </c>
      <c r="G106">
        <v>313</v>
      </c>
      <c r="H106">
        <v>306</v>
      </c>
      <c r="I106">
        <v>11836</v>
      </c>
      <c r="J106">
        <v>11596</v>
      </c>
      <c r="K106">
        <v>104</v>
      </c>
      <c r="L106" t="s">
        <v>17</v>
      </c>
      <c r="M106" t="s">
        <v>18</v>
      </c>
      <c r="N106">
        <f>(Posts[[#This Row],[Likes]]+Posts[[#This Row],[Shares]]+Posts[[#This Row],[Comments]])/Posts[[#This Row],[Impressions]]</f>
        <v>0.14320716458262928</v>
      </c>
    </row>
    <row r="107" spans="1:14" x14ac:dyDescent="0.2">
      <c r="A107" t="s">
        <v>264</v>
      </c>
      <c r="B107" t="s">
        <v>14</v>
      </c>
      <c r="C107" s="1">
        <v>45655</v>
      </c>
      <c r="D107" t="s">
        <v>39</v>
      </c>
      <c r="E107" t="s">
        <v>42</v>
      </c>
      <c r="F107">
        <v>4274</v>
      </c>
      <c r="G107">
        <v>340</v>
      </c>
      <c r="H107">
        <v>281</v>
      </c>
      <c r="I107">
        <v>34192</v>
      </c>
      <c r="J107">
        <v>33446</v>
      </c>
      <c r="K107">
        <v>129</v>
      </c>
      <c r="L107" t="s">
        <v>23</v>
      </c>
      <c r="M107" t="s">
        <v>29</v>
      </c>
      <c r="N107">
        <f>(Posts[[#This Row],[Likes]]+Posts[[#This Row],[Shares]]+Posts[[#This Row],[Comments]])/Posts[[#This Row],[Impressions]]</f>
        <v>0.14316214319138981</v>
      </c>
    </row>
    <row r="108" spans="1:14" x14ac:dyDescent="0.2">
      <c r="A108" t="s">
        <v>264</v>
      </c>
      <c r="B108" t="s">
        <v>14</v>
      </c>
      <c r="C108" s="1">
        <v>45655</v>
      </c>
      <c r="D108" t="s">
        <v>39</v>
      </c>
      <c r="E108" t="s">
        <v>42</v>
      </c>
      <c r="F108">
        <v>4274</v>
      </c>
      <c r="G108">
        <v>340</v>
      </c>
      <c r="H108">
        <v>281</v>
      </c>
      <c r="I108">
        <v>34192</v>
      </c>
      <c r="J108">
        <v>33446</v>
      </c>
      <c r="K108">
        <v>129</v>
      </c>
      <c r="L108" t="s">
        <v>197</v>
      </c>
      <c r="M108" t="s">
        <v>29</v>
      </c>
      <c r="N108">
        <f>(Posts[[#This Row],[Likes]]+Posts[[#This Row],[Shares]]+Posts[[#This Row],[Comments]])/Posts[[#This Row],[Impressions]]</f>
        <v>0.14316214319138981</v>
      </c>
    </row>
    <row r="109" spans="1:14" x14ac:dyDescent="0.2">
      <c r="A109" t="s">
        <v>115</v>
      </c>
      <c r="B109" t="s">
        <v>14</v>
      </c>
      <c r="C109" s="1">
        <v>45540</v>
      </c>
      <c r="D109" t="s">
        <v>59</v>
      </c>
      <c r="E109" t="s">
        <v>98</v>
      </c>
      <c r="F109">
        <v>4886</v>
      </c>
      <c r="G109">
        <v>983</v>
      </c>
      <c r="H109">
        <v>409</v>
      </c>
      <c r="I109">
        <v>43974</v>
      </c>
      <c r="J109">
        <v>43239</v>
      </c>
      <c r="K109">
        <v>65</v>
      </c>
      <c r="L109" t="s">
        <v>23</v>
      </c>
      <c r="M109" t="s">
        <v>18</v>
      </c>
      <c r="N109">
        <f>(Posts[[#This Row],[Likes]]+Posts[[#This Row],[Shares]]+Posts[[#This Row],[Comments]])/Posts[[#This Row],[Impressions]]</f>
        <v>0.14276618001546368</v>
      </c>
    </row>
    <row r="110" spans="1:14" x14ac:dyDescent="0.2">
      <c r="A110" t="s">
        <v>181</v>
      </c>
      <c r="B110" t="s">
        <v>14</v>
      </c>
      <c r="C110" s="1">
        <v>45543</v>
      </c>
      <c r="D110" t="s">
        <v>39</v>
      </c>
      <c r="E110" t="s">
        <v>42</v>
      </c>
      <c r="F110">
        <v>3811</v>
      </c>
      <c r="G110">
        <v>866</v>
      </c>
      <c r="H110">
        <v>216</v>
      </c>
      <c r="I110">
        <v>34299</v>
      </c>
      <c r="J110">
        <v>34088</v>
      </c>
      <c r="K110">
        <v>233</v>
      </c>
      <c r="L110" t="s">
        <v>23</v>
      </c>
      <c r="M110" t="s">
        <v>35</v>
      </c>
      <c r="N110">
        <f>(Posts[[#This Row],[Likes]]+Posts[[#This Row],[Shares]]+Posts[[#This Row],[Comments]])/Posts[[#This Row],[Impressions]]</f>
        <v>0.14265722032712325</v>
      </c>
    </row>
    <row r="111" spans="1:14" x14ac:dyDescent="0.2">
      <c r="A111" t="s">
        <v>329</v>
      </c>
      <c r="B111" t="s">
        <v>31</v>
      </c>
      <c r="C111" s="1">
        <v>45743</v>
      </c>
      <c r="D111" t="s">
        <v>21</v>
      </c>
      <c r="E111" t="s">
        <v>81</v>
      </c>
      <c r="F111">
        <v>4941</v>
      </c>
      <c r="G111">
        <v>414</v>
      </c>
      <c r="H111">
        <v>266</v>
      </c>
      <c r="I111">
        <v>39528</v>
      </c>
      <c r="J111">
        <v>39154</v>
      </c>
      <c r="K111">
        <v>217</v>
      </c>
      <c r="L111" t="s">
        <v>23</v>
      </c>
      <c r="M111" t="s">
        <v>29</v>
      </c>
      <c r="N111">
        <f>(Posts[[#This Row],[Likes]]+Posts[[#This Row],[Shares]]+Posts[[#This Row],[Comments]])/Posts[[#This Row],[Impressions]]</f>
        <v>0.14220299534507186</v>
      </c>
    </row>
    <row r="112" spans="1:14" x14ac:dyDescent="0.2">
      <c r="A112" t="s">
        <v>90</v>
      </c>
      <c r="B112" t="s">
        <v>14</v>
      </c>
      <c r="C112" s="1">
        <v>45723</v>
      </c>
      <c r="D112" t="s">
        <v>44</v>
      </c>
      <c r="E112" t="s">
        <v>91</v>
      </c>
      <c r="F112">
        <v>4750</v>
      </c>
      <c r="G112">
        <v>151</v>
      </c>
      <c r="H112">
        <v>415</v>
      </c>
      <c r="I112">
        <v>38000</v>
      </c>
      <c r="J112">
        <v>37792</v>
      </c>
      <c r="K112">
        <v>299</v>
      </c>
      <c r="L112" t="s">
        <v>34</v>
      </c>
      <c r="M112" t="s">
        <v>35</v>
      </c>
      <c r="N112">
        <f>(Posts[[#This Row],[Likes]]+Posts[[#This Row],[Shares]]+Posts[[#This Row],[Comments]])/Posts[[#This Row],[Impressions]]</f>
        <v>0.13989473684210527</v>
      </c>
    </row>
    <row r="113" spans="1:14" x14ac:dyDescent="0.2">
      <c r="A113" t="s">
        <v>356</v>
      </c>
      <c r="B113" t="s">
        <v>38</v>
      </c>
      <c r="C113" s="1">
        <v>45530</v>
      </c>
      <c r="D113" t="s">
        <v>44</v>
      </c>
      <c r="E113" t="s">
        <v>49</v>
      </c>
      <c r="F113">
        <v>2581</v>
      </c>
      <c r="G113">
        <v>517</v>
      </c>
      <c r="H113">
        <v>117</v>
      </c>
      <c r="I113">
        <v>23229</v>
      </c>
      <c r="J113">
        <v>22331</v>
      </c>
      <c r="K113">
        <v>70</v>
      </c>
      <c r="L113" t="s">
        <v>17</v>
      </c>
      <c r="M113" t="s">
        <v>29</v>
      </c>
      <c r="N113">
        <f>(Posts[[#This Row],[Likes]]+Posts[[#This Row],[Shares]]+Posts[[#This Row],[Comments]])/Posts[[#This Row],[Impressions]]</f>
        <v>0.13840458048129492</v>
      </c>
    </row>
    <row r="114" spans="1:14" x14ac:dyDescent="0.2">
      <c r="A114" t="s">
        <v>231</v>
      </c>
      <c r="B114" t="s">
        <v>38</v>
      </c>
      <c r="C114" s="1">
        <v>45465</v>
      </c>
      <c r="D114" t="s">
        <v>21</v>
      </c>
      <c r="E114" t="s">
        <v>47</v>
      </c>
      <c r="F114">
        <v>3828</v>
      </c>
      <c r="G114">
        <v>148</v>
      </c>
      <c r="H114">
        <v>253</v>
      </c>
      <c r="I114">
        <v>30624</v>
      </c>
      <c r="J114">
        <v>30229</v>
      </c>
      <c r="K114">
        <v>235</v>
      </c>
      <c r="L114" t="s">
        <v>34</v>
      </c>
      <c r="M114" t="s">
        <v>57</v>
      </c>
      <c r="N114">
        <f>(Posts[[#This Row],[Likes]]+Posts[[#This Row],[Shares]]+Posts[[#This Row],[Comments]])/Posts[[#This Row],[Impressions]]</f>
        <v>0.13809430512016718</v>
      </c>
    </row>
    <row r="115" spans="1:14" x14ac:dyDescent="0.2">
      <c r="A115" t="s">
        <v>160</v>
      </c>
      <c r="B115" t="s">
        <v>27</v>
      </c>
      <c r="C115" s="1">
        <v>45739</v>
      </c>
      <c r="D115" t="s">
        <v>32</v>
      </c>
      <c r="E115" t="s">
        <v>104</v>
      </c>
      <c r="F115">
        <v>3655</v>
      </c>
      <c r="G115">
        <v>568</v>
      </c>
      <c r="H115">
        <v>286</v>
      </c>
      <c r="I115">
        <v>32895</v>
      </c>
      <c r="J115">
        <v>32015</v>
      </c>
      <c r="K115">
        <v>199</v>
      </c>
      <c r="L115" t="s">
        <v>23</v>
      </c>
      <c r="M115" t="s">
        <v>29</v>
      </c>
      <c r="N115">
        <f>(Posts[[#This Row],[Likes]]+Posts[[#This Row],[Shares]]+Posts[[#This Row],[Comments]])/Posts[[#This Row],[Impressions]]</f>
        <v>0.13707250341997265</v>
      </c>
    </row>
    <row r="116" spans="1:14" x14ac:dyDescent="0.2">
      <c r="A116" t="s">
        <v>252</v>
      </c>
      <c r="B116" t="s">
        <v>31</v>
      </c>
      <c r="C116" s="1">
        <v>45519</v>
      </c>
      <c r="D116" t="s">
        <v>39</v>
      </c>
      <c r="E116" t="s">
        <v>68</v>
      </c>
      <c r="F116">
        <v>914</v>
      </c>
      <c r="G116">
        <v>464</v>
      </c>
      <c r="H116">
        <v>246</v>
      </c>
      <c r="I116">
        <v>11882</v>
      </c>
      <c r="J116">
        <v>11500</v>
      </c>
      <c r="K116">
        <v>282</v>
      </c>
      <c r="L116" t="s">
        <v>17</v>
      </c>
      <c r="M116" t="s">
        <v>35</v>
      </c>
      <c r="N116">
        <f>(Posts[[#This Row],[Likes]]+Posts[[#This Row],[Shares]]+Posts[[#This Row],[Comments]])/Posts[[#This Row],[Impressions]]</f>
        <v>0.13667732704931829</v>
      </c>
    </row>
    <row r="117" spans="1:14" x14ac:dyDescent="0.2">
      <c r="A117" t="s">
        <v>252</v>
      </c>
      <c r="B117" t="s">
        <v>31</v>
      </c>
      <c r="C117" s="1">
        <v>45519</v>
      </c>
      <c r="D117" t="s">
        <v>39</v>
      </c>
      <c r="E117" t="s">
        <v>68</v>
      </c>
      <c r="F117">
        <v>914</v>
      </c>
      <c r="G117">
        <v>464</v>
      </c>
      <c r="H117">
        <v>246</v>
      </c>
      <c r="I117">
        <v>11882</v>
      </c>
      <c r="J117">
        <v>11500</v>
      </c>
      <c r="K117">
        <v>282</v>
      </c>
      <c r="L117" t="s">
        <v>23</v>
      </c>
      <c r="M117" t="s">
        <v>35</v>
      </c>
      <c r="N117">
        <f>(Posts[[#This Row],[Likes]]+Posts[[#This Row],[Shares]]+Posts[[#This Row],[Comments]])/Posts[[#This Row],[Impressions]]</f>
        <v>0.13667732704931829</v>
      </c>
    </row>
    <row r="118" spans="1:14" x14ac:dyDescent="0.2">
      <c r="A118" t="s">
        <v>252</v>
      </c>
      <c r="B118" t="s">
        <v>31</v>
      </c>
      <c r="C118" s="1">
        <v>45519</v>
      </c>
      <c r="D118" t="s">
        <v>39</v>
      </c>
      <c r="E118" t="s">
        <v>68</v>
      </c>
      <c r="F118">
        <v>914</v>
      </c>
      <c r="G118">
        <v>464</v>
      </c>
      <c r="H118">
        <v>246</v>
      </c>
      <c r="I118">
        <v>11882</v>
      </c>
      <c r="J118">
        <v>11500</v>
      </c>
      <c r="K118">
        <v>282</v>
      </c>
      <c r="L118" t="s">
        <v>19</v>
      </c>
      <c r="M118" t="s">
        <v>35</v>
      </c>
      <c r="N118">
        <f>(Posts[[#This Row],[Likes]]+Posts[[#This Row],[Shares]]+Posts[[#This Row],[Comments]])/Posts[[#This Row],[Impressions]]</f>
        <v>0.13667732704931829</v>
      </c>
    </row>
    <row r="119" spans="1:14" x14ac:dyDescent="0.2">
      <c r="A119" t="s">
        <v>241</v>
      </c>
      <c r="B119" t="s">
        <v>14</v>
      </c>
      <c r="C119" s="1">
        <v>45501</v>
      </c>
      <c r="D119" t="s">
        <v>44</v>
      </c>
      <c r="E119" t="s">
        <v>91</v>
      </c>
      <c r="F119">
        <v>3215</v>
      </c>
      <c r="G119">
        <v>960</v>
      </c>
      <c r="H119">
        <v>202</v>
      </c>
      <c r="I119">
        <v>32150</v>
      </c>
      <c r="J119">
        <v>31404</v>
      </c>
      <c r="K119">
        <v>251</v>
      </c>
      <c r="L119" t="s">
        <v>34</v>
      </c>
      <c r="M119" t="s">
        <v>18</v>
      </c>
      <c r="N119">
        <f>(Posts[[#This Row],[Likes]]+Posts[[#This Row],[Shares]]+Posts[[#This Row],[Comments]])/Posts[[#This Row],[Impressions]]</f>
        <v>0.13614307931570763</v>
      </c>
    </row>
    <row r="120" spans="1:14" x14ac:dyDescent="0.2">
      <c r="A120" t="s">
        <v>148</v>
      </c>
      <c r="B120" t="s">
        <v>14</v>
      </c>
      <c r="C120" s="1">
        <v>45586</v>
      </c>
      <c r="D120" t="s">
        <v>32</v>
      </c>
      <c r="E120" t="s">
        <v>101</v>
      </c>
      <c r="F120">
        <v>3801</v>
      </c>
      <c r="G120">
        <v>967</v>
      </c>
      <c r="H120">
        <v>401</v>
      </c>
      <c r="I120">
        <v>38010</v>
      </c>
      <c r="J120">
        <v>37625</v>
      </c>
      <c r="K120">
        <v>236</v>
      </c>
      <c r="L120" t="s">
        <v>17</v>
      </c>
      <c r="M120" t="s">
        <v>29</v>
      </c>
      <c r="N120">
        <f>(Posts[[#This Row],[Likes]]+Posts[[#This Row],[Shares]]+Posts[[#This Row],[Comments]])/Posts[[#This Row],[Impressions]]</f>
        <v>0.13599052880820836</v>
      </c>
    </row>
    <row r="121" spans="1:14" x14ac:dyDescent="0.2">
      <c r="A121" t="s">
        <v>144</v>
      </c>
      <c r="B121" t="s">
        <v>38</v>
      </c>
      <c r="C121" s="1">
        <v>45480</v>
      </c>
      <c r="D121" t="s">
        <v>32</v>
      </c>
      <c r="E121" t="s">
        <v>56</v>
      </c>
      <c r="F121">
        <v>302</v>
      </c>
      <c r="G121">
        <v>47</v>
      </c>
      <c r="H121">
        <v>430</v>
      </c>
      <c r="I121">
        <v>5738</v>
      </c>
      <c r="J121">
        <v>4890</v>
      </c>
      <c r="K121">
        <v>25</v>
      </c>
      <c r="L121" t="s">
        <v>23</v>
      </c>
      <c r="M121" t="s">
        <v>35</v>
      </c>
      <c r="N121">
        <f>(Posts[[#This Row],[Likes]]+Posts[[#This Row],[Shares]]+Posts[[#This Row],[Comments]])/Posts[[#This Row],[Impressions]]</f>
        <v>0.13576158940397351</v>
      </c>
    </row>
    <row r="122" spans="1:14" x14ac:dyDescent="0.2">
      <c r="A122" t="s">
        <v>342</v>
      </c>
      <c r="B122" t="s">
        <v>27</v>
      </c>
      <c r="C122" s="1">
        <v>45491</v>
      </c>
      <c r="D122" t="s">
        <v>21</v>
      </c>
      <c r="E122" t="s">
        <v>76</v>
      </c>
      <c r="F122">
        <v>4021</v>
      </c>
      <c r="G122">
        <v>794</v>
      </c>
      <c r="H122">
        <v>77</v>
      </c>
      <c r="I122">
        <v>36189</v>
      </c>
      <c r="J122">
        <v>35505</v>
      </c>
      <c r="K122">
        <v>174</v>
      </c>
      <c r="L122" t="s">
        <v>34</v>
      </c>
      <c r="M122" t="s">
        <v>57</v>
      </c>
      <c r="N122">
        <f>(Posts[[#This Row],[Likes]]+Posts[[#This Row],[Shares]]+Posts[[#This Row],[Comments]])/Posts[[#This Row],[Impressions]]</f>
        <v>0.13517919809886983</v>
      </c>
    </row>
    <row r="123" spans="1:14" x14ac:dyDescent="0.2">
      <c r="A123" t="s">
        <v>103</v>
      </c>
      <c r="B123" t="s">
        <v>27</v>
      </c>
      <c r="C123" s="1">
        <v>45476</v>
      </c>
      <c r="D123" t="s">
        <v>32</v>
      </c>
      <c r="E123" t="s">
        <v>104</v>
      </c>
      <c r="F123">
        <v>2754</v>
      </c>
      <c r="G123">
        <v>130</v>
      </c>
      <c r="H123">
        <v>90</v>
      </c>
      <c r="I123">
        <v>22032</v>
      </c>
      <c r="J123">
        <v>21288</v>
      </c>
      <c r="K123">
        <v>112</v>
      </c>
      <c r="L123" t="s">
        <v>23</v>
      </c>
      <c r="M123" t="s">
        <v>29</v>
      </c>
      <c r="N123">
        <f>(Posts[[#This Row],[Likes]]+Posts[[#This Row],[Shares]]+Posts[[#This Row],[Comments]])/Posts[[#This Row],[Impressions]]</f>
        <v>0.13498547567175018</v>
      </c>
    </row>
    <row r="124" spans="1:14" x14ac:dyDescent="0.2">
      <c r="A124" t="s">
        <v>188</v>
      </c>
      <c r="B124" t="s">
        <v>31</v>
      </c>
      <c r="C124" s="1">
        <v>45720</v>
      </c>
      <c r="D124" t="s">
        <v>32</v>
      </c>
      <c r="E124" t="s">
        <v>33</v>
      </c>
      <c r="F124">
        <v>1947</v>
      </c>
      <c r="G124">
        <v>842</v>
      </c>
      <c r="H124">
        <v>101</v>
      </c>
      <c r="I124">
        <v>21417</v>
      </c>
      <c r="J124">
        <v>20967</v>
      </c>
      <c r="K124">
        <v>186</v>
      </c>
      <c r="L124" t="s">
        <v>17</v>
      </c>
      <c r="M124" t="s">
        <v>24</v>
      </c>
      <c r="N124">
        <f>(Posts[[#This Row],[Likes]]+Posts[[#This Row],[Shares]]+Posts[[#This Row],[Comments]])/Posts[[#This Row],[Impressions]]</f>
        <v>0.13493953401503478</v>
      </c>
    </row>
    <row r="125" spans="1:14" x14ac:dyDescent="0.2">
      <c r="A125" t="s">
        <v>286</v>
      </c>
      <c r="B125" t="s">
        <v>31</v>
      </c>
      <c r="C125" s="1">
        <v>45476</v>
      </c>
      <c r="D125" t="s">
        <v>39</v>
      </c>
      <c r="E125" t="s">
        <v>68</v>
      </c>
      <c r="F125">
        <v>4799</v>
      </c>
      <c r="G125">
        <v>694</v>
      </c>
      <c r="H125">
        <v>289</v>
      </c>
      <c r="I125">
        <v>43191</v>
      </c>
      <c r="J125">
        <v>42228</v>
      </c>
      <c r="K125">
        <v>118</v>
      </c>
      <c r="L125" t="s">
        <v>23</v>
      </c>
      <c r="M125" t="s">
        <v>57</v>
      </c>
      <c r="N125">
        <f>(Posts[[#This Row],[Likes]]+Posts[[#This Row],[Shares]]+Posts[[#This Row],[Comments]])/Posts[[#This Row],[Impressions]]</f>
        <v>0.13387048227640017</v>
      </c>
    </row>
    <row r="126" spans="1:14" x14ac:dyDescent="0.2">
      <c r="A126" t="s">
        <v>128</v>
      </c>
      <c r="B126" t="s">
        <v>27</v>
      </c>
      <c r="C126" s="1">
        <v>45593</v>
      </c>
      <c r="D126" t="s">
        <v>15</v>
      </c>
      <c r="E126" t="s">
        <v>28</v>
      </c>
      <c r="F126">
        <v>1855</v>
      </c>
      <c r="G126">
        <v>200</v>
      </c>
      <c r="H126">
        <v>174</v>
      </c>
      <c r="I126">
        <v>16695</v>
      </c>
      <c r="J126">
        <v>16330</v>
      </c>
      <c r="K126">
        <v>123</v>
      </c>
      <c r="L126" t="s">
        <v>23</v>
      </c>
      <c r="M126" t="s">
        <v>29</v>
      </c>
      <c r="N126">
        <f>(Posts[[#This Row],[Likes]]+Posts[[#This Row],[Shares]]+Posts[[#This Row],[Comments]])/Posts[[#This Row],[Impressions]]</f>
        <v>0.13351302785265048</v>
      </c>
    </row>
    <row r="127" spans="1:14" x14ac:dyDescent="0.2">
      <c r="A127" t="s">
        <v>311</v>
      </c>
      <c r="B127" t="s">
        <v>14</v>
      </c>
      <c r="C127" s="1">
        <v>45671</v>
      </c>
      <c r="D127" t="s">
        <v>44</v>
      </c>
      <c r="E127" t="s">
        <v>91</v>
      </c>
      <c r="F127">
        <v>2692</v>
      </c>
      <c r="G127">
        <v>115</v>
      </c>
      <c r="H127">
        <v>64</v>
      </c>
      <c r="I127">
        <v>21536</v>
      </c>
      <c r="J127">
        <v>21120</v>
      </c>
      <c r="K127">
        <v>224</v>
      </c>
      <c r="L127" t="s">
        <v>17</v>
      </c>
      <c r="M127" t="s">
        <v>24</v>
      </c>
      <c r="N127">
        <f>(Posts[[#This Row],[Likes]]+Posts[[#This Row],[Shares]]+Posts[[#This Row],[Comments]])/Posts[[#This Row],[Impressions]]</f>
        <v>0.13331166419019316</v>
      </c>
    </row>
    <row r="128" spans="1:14" x14ac:dyDescent="0.2">
      <c r="A128" t="s">
        <v>187</v>
      </c>
      <c r="B128" t="s">
        <v>31</v>
      </c>
      <c r="C128" s="1">
        <v>45586</v>
      </c>
      <c r="D128" t="s">
        <v>15</v>
      </c>
      <c r="E128" t="s">
        <v>64</v>
      </c>
      <c r="F128">
        <v>4840</v>
      </c>
      <c r="G128">
        <v>658</v>
      </c>
      <c r="H128">
        <v>211</v>
      </c>
      <c r="I128">
        <v>43560</v>
      </c>
      <c r="J128">
        <v>43225</v>
      </c>
      <c r="K128">
        <v>57</v>
      </c>
      <c r="L128" t="s">
        <v>17</v>
      </c>
      <c r="M128" t="s">
        <v>29</v>
      </c>
      <c r="N128">
        <f>(Posts[[#This Row],[Likes]]+Posts[[#This Row],[Shares]]+Posts[[#This Row],[Comments]])/Posts[[#This Row],[Impressions]]</f>
        <v>0.13106060606060607</v>
      </c>
    </row>
    <row r="129" spans="1:14" x14ac:dyDescent="0.2">
      <c r="A129" t="s">
        <v>293</v>
      </c>
      <c r="B129" t="s">
        <v>38</v>
      </c>
      <c r="C129" s="1">
        <v>45523</v>
      </c>
      <c r="D129" t="s">
        <v>21</v>
      </c>
      <c r="E129" t="s">
        <v>47</v>
      </c>
      <c r="F129">
        <v>1257</v>
      </c>
      <c r="G129">
        <v>19</v>
      </c>
      <c r="H129">
        <v>351</v>
      </c>
      <c r="I129">
        <v>12570</v>
      </c>
      <c r="J129">
        <v>11660</v>
      </c>
      <c r="K129">
        <v>194</v>
      </c>
      <c r="L129" t="s">
        <v>17</v>
      </c>
      <c r="M129" t="s">
        <v>24</v>
      </c>
      <c r="N129">
        <f>(Posts[[#This Row],[Likes]]+Posts[[#This Row],[Shares]]+Posts[[#This Row],[Comments]])/Posts[[#This Row],[Impressions]]</f>
        <v>0.12943516308671441</v>
      </c>
    </row>
    <row r="130" spans="1:14" x14ac:dyDescent="0.2">
      <c r="A130" t="s">
        <v>293</v>
      </c>
      <c r="B130" t="s">
        <v>38</v>
      </c>
      <c r="C130" s="1">
        <v>45523</v>
      </c>
      <c r="D130" t="s">
        <v>21</v>
      </c>
      <c r="E130" t="s">
        <v>47</v>
      </c>
      <c r="F130">
        <v>1257</v>
      </c>
      <c r="G130">
        <v>19</v>
      </c>
      <c r="H130">
        <v>351</v>
      </c>
      <c r="I130">
        <v>12570</v>
      </c>
      <c r="J130">
        <v>11660</v>
      </c>
      <c r="K130">
        <v>194</v>
      </c>
      <c r="L130" t="s">
        <v>19</v>
      </c>
      <c r="M130" t="s">
        <v>24</v>
      </c>
      <c r="N130">
        <f>(Posts[[#This Row],[Likes]]+Posts[[#This Row],[Shares]]+Posts[[#This Row],[Comments]])/Posts[[#This Row],[Impressions]]</f>
        <v>0.12943516308671441</v>
      </c>
    </row>
    <row r="131" spans="1:14" x14ac:dyDescent="0.2">
      <c r="A131" t="s">
        <v>293</v>
      </c>
      <c r="B131" t="s">
        <v>38</v>
      </c>
      <c r="C131" s="1">
        <v>45523</v>
      </c>
      <c r="D131" t="s">
        <v>21</v>
      </c>
      <c r="E131" t="s">
        <v>47</v>
      </c>
      <c r="F131">
        <v>1257</v>
      </c>
      <c r="G131">
        <v>19</v>
      </c>
      <c r="H131">
        <v>351</v>
      </c>
      <c r="I131">
        <v>12570</v>
      </c>
      <c r="J131">
        <v>11660</v>
      </c>
      <c r="K131">
        <v>194</v>
      </c>
      <c r="L131" t="s">
        <v>34</v>
      </c>
      <c r="M131" t="s">
        <v>24</v>
      </c>
      <c r="N131">
        <f>(Posts[[#This Row],[Likes]]+Posts[[#This Row],[Shares]]+Posts[[#This Row],[Comments]])/Posts[[#This Row],[Impressions]]</f>
        <v>0.12943516308671441</v>
      </c>
    </row>
    <row r="132" spans="1:14" x14ac:dyDescent="0.2">
      <c r="A132" t="s">
        <v>170</v>
      </c>
      <c r="B132" t="s">
        <v>14</v>
      </c>
      <c r="C132" s="1">
        <v>45610</v>
      </c>
      <c r="D132" t="s">
        <v>32</v>
      </c>
      <c r="E132" t="s">
        <v>101</v>
      </c>
      <c r="F132">
        <v>4000</v>
      </c>
      <c r="G132">
        <v>689</v>
      </c>
      <c r="H132">
        <v>488</v>
      </c>
      <c r="I132">
        <v>40000</v>
      </c>
      <c r="J132">
        <v>39569</v>
      </c>
      <c r="K132">
        <v>44</v>
      </c>
      <c r="L132" t="s">
        <v>17</v>
      </c>
      <c r="M132" t="s">
        <v>18</v>
      </c>
      <c r="N132">
        <f>(Posts[[#This Row],[Likes]]+Posts[[#This Row],[Shares]]+Posts[[#This Row],[Comments]])/Posts[[#This Row],[Impressions]]</f>
        <v>0.12942500000000001</v>
      </c>
    </row>
    <row r="133" spans="1:14" x14ac:dyDescent="0.2">
      <c r="A133" t="s">
        <v>110</v>
      </c>
      <c r="B133" t="s">
        <v>38</v>
      </c>
      <c r="C133" s="1">
        <v>45644</v>
      </c>
      <c r="D133" t="s">
        <v>39</v>
      </c>
      <c r="E133" t="s">
        <v>40</v>
      </c>
      <c r="F133">
        <v>2946</v>
      </c>
      <c r="G133">
        <v>498</v>
      </c>
      <c r="H133">
        <v>367</v>
      </c>
      <c r="I133">
        <v>29460</v>
      </c>
      <c r="J133">
        <v>28527</v>
      </c>
      <c r="K133">
        <v>60</v>
      </c>
      <c r="L133" t="s">
        <v>17</v>
      </c>
      <c r="M133" t="s">
        <v>29</v>
      </c>
      <c r="N133">
        <f>(Posts[[#This Row],[Likes]]+Posts[[#This Row],[Shares]]+Posts[[#This Row],[Comments]])/Posts[[#This Row],[Impressions]]</f>
        <v>0.12936184657162253</v>
      </c>
    </row>
    <row r="134" spans="1:14" x14ac:dyDescent="0.2">
      <c r="A134" t="s">
        <v>161</v>
      </c>
      <c r="B134" t="s">
        <v>31</v>
      </c>
      <c r="C134" s="1">
        <v>45457</v>
      </c>
      <c r="D134" t="s">
        <v>39</v>
      </c>
      <c r="E134" t="s">
        <v>68</v>
      </c>
      <c r="F134">
        <v>498</v>
      </c>
      <c r="G134">
        <v>38</v>
      </c>
      <c r="H134">
        <v>42</v>
      </c>
      <c r="I134">
        <v>4482</v>
      </c>
      <c r="J134">
        <v>3647</v>
      </c>
      <c r="K134">
        <v>32</v>
      </c>
      <c r="L134" t="s">
        <v>17</v>
      </c>
      <c r="M134" t="s">
        <v>18</v>
      </c>
      <c r="N134">
        <f>(Posts[[#This Row],[Likes]]+Posts[[#This Row],[Shares]]+Posts[[#This Row],[Comments]])/Posts[[#This Row],[Impressions]]</f>
        <v>0.12896028558679162</v>
      </c>
    </row>
    <row r="135" spans="1:14" x14ac:dyDescent="0.2">
      <c r="A135" t="s">
        <v>51</v>
      </c>
      <c r="B135" t="s">
        <v>38</v>
      </c>
      <c r="C135" s="1">
        <v>45494</v>
      </c>
      <c r="D135" t="s">
        <v>15</v>
      </c>
      <c r="E135" t="s">
        <v>52</v>
      </c>
      <c r="F135">
        <v>1946</v>
      </c>
      <c r="G135">
        <v>686</v>
      </c>
      <c r="H135">
        <v>377</v>
      </c>
      <c r="I135">
        <v>23352</v>
      </c>
      <c r="J135">
        <v>22982</v>
      </c>
      <c r="K135">
        <v>213</v>
      </c>
      <c r="L135" t="s">
        <v>17</v>
      </c>
      <c r="M135" t="s">
        <v>29</v>
      </c>
      <c r="N135">
        <f>(Posts[[#This Row],[Likes]]+Posts[[#This Row],[Shares]]+Posts[[#This Row],[Comments]])/Posts[[#This Row],[Impressions]]</f>
        <v>0.12885405960945528</v>
      </c>
    </row>
    <row r="136" spans="1:14" x14ac:dyDescent="0.2">
      <c r="A136" t="s">
        <v>292</v>
      </c>
      <c r="B136" t="s">
        <v>38</v>
      </c>
      <c r="C136" s="1">
        <v>45648</v>
      </c>
      <c r="D136" t="s">
        <v>44</v>
      </c>
      <c r="E136" t="s">
        <v>49</v>
      </c>
      <c r="F136">
        <v>3196</v>
      </c>
      <c r="G136">
        <v>941</v>
      </c>
      <c r="H136">
        <v>376</v>
      </c>
      <c r="I136">
        <v>35156</v>
      </c>
      <c r="J136">
        <v>34444</v>
      </c>
      <c r="K136">
        <v>241</v>
      </c>
      <c r="L136" t="s">
        <v>23</v>
      </c>
      <c r="M136" t="s">
        <v>29</v>
      </c>
      <c r="N136">
        <f>(Posts[[#This Row],[Likes]]+Posts[[#This Row],[Shares]]+Posts[[#This Row],[Comments]])/Posts[[#This Row],[Impressions]]</f>
        <v>0.1283706906360223</v>
      </c>
    </row>
    <row r="137" spans="1:14" x14ac:dyDescent="0.2">
      <c r="A137" t="s">
        <v>83</v>
      </c>
      <c r="B137" t="s">
        <v>38</v>
      </c>
      <c r="C137" s="1">
        <v>45525</v>
      </c>
      <c r="D137" t="s">
        <v>44</v>
      </c>
      <c r="E137" t="s">
        <v>49</v>
      </c>
      <c r="F137">
        <v>1407</v>
      </c>
      <c r="G137">
        <v>400</v>
      </c>
      <c r="H137">
        <v>351</v>
      </c>
      <c r="I137">
        <v>16884</v>
      </c>
      <c r="J137">
        <v>15954</v>
      </c>
      <c r="K137">
        <v>113</v>
      </c>
      <c r="L137" t="s">
        <v>23</v>
      </c>
      <c r="M137" t="s">
        <v>18</v>
      </c>
      <c r="N137">
        <f>(Posts[[#This Row],[Likes]]+Posts[[#This Row],[Shares]]+Posts[[#This Row],[Comments]])/Posts[[#This Row],[Impressions]]</f>
        <v>0.12781331438047855</v>
      </c>
    </row>
    <row r="138" spans="1:14" x14ac:dyDescent="0.2">
      <c r="A138" t="s">
        <v>88</v>
      </c>
      <c r="B138" t="s">
        <v>27</v>
      </c>
      <c r="C138" s="1">
        <v>45705</v>
      </c>
      <c r="D138" t="s">
        <v>15</v>
      </c>
      <c r="E138" t="s">
        <v>28</v>
      </c>
      <c r="F138">
        <v>3138</v>
      </c>
      <c r="G138">
        <v>123</v>
      </c>
      <c r="H138">
        <v>291</v>
      </c>
      <c r="I138">
        <v>28242</v>
      </c>
      <c r="J138">
        <v>27550</v>
      </c>
      <c r="K138">
        <v>87</v>
      </c>
      <c r="L138" t="s">
        <v>23</v>
      </c>
      <c r="M138" t="s">
        <v>35</v>
      </c>
      <c r="N138">
        <f>(Posts[[#This Row],[Likes]]+Posts[[#This Row],[Shares]]+Posts[[#This Row],[Comments]])/Posts[[#This Row],[Impressions]]</f>
        <v>0.12577012959422137</v>
      </c>
    </row>
    <row r="139" spans="1:14" x14ac:dyDescent="0.2">
      <c r="A139" t="s">
        <v>253</v>
      </c>
      <c r="B139" t="s">
        <v>31</v>
      </c>
      <c r="C139" s="1">
        <v>45645</v>
      </c>
      <c r="D139" t="s">
        <v>21</v>
      </c>
      <c r="E139" t="s">
        <v>81</v>
      </c>
      <c r="F139">
        <v>1813</v>
      </c>
      <c r="G139">
        <v>623</v>
      </c>
      <c r="H139">
        <v>72</v>
      </c>
      <c r="I139">
        <v>19943</v>
      </c>
      <c r="J139">
        <v>18959</v>
      </c>
      <c r="K139">
        <v>85</v>
      </c>
      <c r="L139" t="s">
        <v>34</v>
      </c>
      <c r="M139" t="s">
        <v>29</v>
      </c>
      <c r="N139">
        <f>(Posts[[#This Row],[Likes]]+Posts[[#This Row],[Shares]]+Posts[[#This Row],[Comments]])/Posts[[#This Row],[Impressions]]</f>
        <v>0.12575841147269717</v>
      </c>
    </row>
    <row r="140" spans="1:14" x14ac:dyDescent="0.2">
      <c r="A140" t="s">
        <v>184</v>
      </c>
      <c r="B140" t="s">
        <v>14</v>
      </c>
      <c r="C140" s="1">
        <v>45667</v>
      </c>
      <c r="D140" t="s">
        <v>44</v>
      </c>
      <c r="E140" t="s">
        <v>91</v>
      </c>
      <c r="F140">
        <v>3092</v>
      </c>
      <c r="G140">
        <v>106</v>
      </c>
      <c r="H140">
        <v>291</v>
      </c>
      <c r="I140">
        <v>27828</v>
      </c>
      <c r="J140">
        <v>27217</v>
      </c>
      <c r="K140">
        <v>102</v>
      </c>
      <c r="L140" t="s">
        <v>17</v>
      </c>
      <c r="M140" t="s">
        <v>57</v>
      </c>
      <c r="N140">
        <f>(Posts[[#This Row],[Likes]]+Posts[[#This Row],[Shares]]+Posts[[#This Row],[Comments]])/Posts[[#This Row],[Impressions]]</f>
        <v>0.12537731780940059</v>
      </c>
    </row>
    <row r="141" spans="1:14" x14ac:dyDescent="0.2">
      <c r="A141" t="s">
        <v>226</v>
      </c>
      <c r="B141" t="s">
        <v>27</v>
      </c>
      <c r="C141" s="1">
        <v>45629</v>
      </c>
      <c r="D141" t="s">
        <v>59</v>
      </c>
      <c r="E141" t="s">
        <v>139</v>
      </c>
      <c r="F141">
        <v>3809</v>
      </c>
      <c r="G141">
        <v>273</v>
      </c>
      <c r="H141">
        <v>200</v>
      </c>
      <c r="I141">
        <v>34281</v>
      </c>
      <c r="J141">
        <v>33534</v>
      </c>
      <c r="K141">
        <v>83</v>
      </c>
      <c r="L141" t="s">
        <v>34</v>
      </c>
      <c r="M141" t="s">
        <v>18</v>
      </c>
      <c r="N141">
        <f>(Posts[[#This Row],[Likes]]+Posts[[#This Row],[Shares]]+Posts[[#This Row],[Comments]])/Posts[[#This Row],[Impressions]]</f>
        <v>0.12490884163239112</v>
      </c>
    </row>
    <row r="142" spans="1:14" x14ac:dyDescent="0.2">
      <c r="A142" t="s">
        <v>350</v>
      </c>
      <c r="B142" t="s">
        <v>38</v>
      </c>
      <c r="C142" s="1">
        <v>45791</v>
      </c>
      <c r="D142" t="s">
        <v>21</v>
      </c>
      <c r="E142" t="s">
        <v>47</v>
      </c>
      <c r="F142">
        <v>2634</v>
      </c>
      <c r="G142">
        <v>726</v>
      </c>
      <c r="H142">
        <v>241</v>
      </c>
      <c r="I142">
        <v>28974</v>
      </c>
      <c r="J142">
        <v>28102</v>
      </c>
      <c r="K142">
        <v>277</v>
      </c>
      <c r="L142" t="s">
        <v>34</v>
      </c>
      <c r="M142" t="s">
        <v>18</v>
      </c>
      <c r="N142">
        <f>(Posts[[#This Row],[Likes]]+Posts[[#This Row],[Shares]]+Posts[[#This Row],[Comments]])/Posts[[#This Row],[Impressions]]</f>
        <v>0.12428384068475185</v>
      </c>
    </row>
    <row r="143" spans="1:14" x14ac:dyDescent="0.2">
      <c r="A143" t="s">
        <v>349</v>
      </c>
      <c r="B143" t="s">
        <v>38</v>
      </c>
      <c r="C143" s="1">
        <v>45613</v>
      </c>
      <c r="D143" t="s">
        <v>21</v>
      </c>
      <c r="E143" t="s">
        <v>47</v>
      </c>
      <c r="F143">
        <v>880</v>
      </c>
      <c r="G143">
        <v>297</v>
      </c>
      <c r="H143">
        <v>345</v>
      </c>
      <c r="I143">
        <v>12320</v>
      </c>
      <c r="J143">
        <v>11978</v>
      </c>
      <c r="K143">
        <v>238</v>
      </c>
      <c r="L143" t="s">
        <v>23</v>
      </c>
      <c r="M143" t="s">
        <v>57</v>
      </c>
      <c r="N143">
        <f>(Posts[[#This Row],[Likes]]+Posts[[#This Row],[Shares]]+Posts[[#This Row],[Comments]])/Posts[[#This Row],[Impressions]]</f>
        <v>0.12353896103896105</v>
      </c>
    </row>
    <row r="144" spans="1:14" x14ac:dyDescent="0.2">
      <c r="A144" t="s">
        <v>349</v>
      </c>
      <c r="B144" t="s">
        <v>38</v>
      </c>
      <c r="C144" s="1">
        <v>45613</v>
      </c>
      <c r="D144" t="s">
        <v>21</v>
      </c>
      <c r="E144" t="s">
        <v>47</v>
      </c>
      <c r="F144">
        <v>880</v>
      </c>
      <c r="G144">
        <v>297</v>
      </c>
      <c r="H144">
        <v>345</v>
      </c>
      <c r="I144">
        <v>12320</v>
      </c>
      <c r="J144">
        <v>11978</v>
      </c>
      <c r="K144">
        <v>238</v>
      </c>
      <c r="L144" t="s">
        <v>19</v>
      </c>
      <c r="M144" t="s">
        <v>57</v>
      </c>
      <c r="N144">
        <f>(Posts[[#This Row],[Likes]]+Posts[[#This Row],[Shares]]+Posts[[#This Row],[Comments]])/Posts[[#This Row],[Impressions]]</f>
        <v>0.12353896103896105</v>
      </c>
    </row>
    <row r="145" spans="1:14" x14ac:dyDescent="0.2">
      <c r="A145" t="s">
        <v>269</v>
      </c>
      <c r="B145" t="s">
        <v>27</v>
      </c>
      <c r="C145" s="1">
        <v>45719</v>
      </c>
      <c r="D145" t="s">
        <v>59</v>
      </c>
      <c r="E145" t="s">
        <v>139</v>
      </c>
      <c r="F145">
        <v>3874</v>
      </c>
      <c r="G145">
        <v>884</v>
      </c>
      <c r="H145">
        <v>19</v>
      </c>
      <c r="I145">
        <v>38740</v>
      </c>
      <c r="J145">
        <v>38552</v>
      </c>
      <c r="K145">
        <v>219</v>
      </c>
      <c r="L145" t="s">
        <v>23</v>
      </c>
      <c r="M145" t="s">
        <v>24</v>
      </c>
      <c r="N145">
        <f>(Posts[[#This Row],[Likes]]+Posts[[#This Row],[Shares]]+Posts[[#This Row],[Comments]])/Posts[[#This Row],[Impressions]]</f>
        <v>0.123309241094476</v>
      </c>
    </row>
    <row r="146" spans="1:14" x14ac:dyDescent="0.2">
      <c r="A146" t="s">
        <v>166</v>
      </c>
      <c r="B146" t="s">
        <v>31</v>
      </c>
      <c r="C146" s="1">
        <v>45502</v>
      </c>
      <c r="D146" t="s">
        <v>15</v>
      </c>
      <c r="E146" t="s">
        <v>64</v>
      </c>
      <c r="F146">
        <v>3523</v>
      </c>
      <c r="G146">
        <v>753</v>
      </c>
      <c r="H146">
        <v>482</v>
      </c>
      <c r="I146">
        <v>38753</v>
      </c>
      <c r="J146">
        <v>38579</v>
      </c>
      <c r="K146">
        <v>270</v>
      </c>
      <c r="L146" t="s">
        <v>34</v>
      </c>
      <c r="M146" t="s">
        <v>24</v>
      </c>
      <c r="N146">
        <f>(Posts[[#This Row],[Likes]]+Posts[[#This Row],[Shares]]+Posts[[#This Row],[Comments]])/Posts[[#This Row],[Impressions]]</f>
        <v>0.12277759141227776</v>
      </c>
    </row>
    <row r="147" spans="1:14" x14ac:dyDescent="0.2">
      <c r="A147" t="s">
        <v>302</v>
      </c>
      <c r="B147" t="s">
        <v>38</v>
      </c>
      <c r="C147" s="1">
        <v>45669</v>
      </c>
      <c r="D147" t="s">
        <v>15</v>
      </c>
      <c r="E147" t="s">
        <v>52</v>
      </c>
      <c r="F147">
        <v>4134</v>
      </c>
      <c r="G147">
        <v>824</v>
      </c>
      <c r="H147">
        <v>99</v>
      </c>
      <c r="I147">
        <v>41340</v>
      </c>
      <c r="J147">
        <v>41050</v>
      </c>
      <c r="K147">
        <v>177</v>
      </c>
      <c r="L147" t="s">
        <v>34</v>
      </c>
      <c r="M147" t="s">
        <v>18</v>
      </c>
      <c r="N147">
        <f>(Posts[[#This Row],[Likes]]+Posts[[#This Row],[Shares]]+Posts[[#This Row],[Comments]])/Posts[[#This Row],[Impressions]]</f>
        <v>0.12232704402515723</v>
      </c>
    </row>
    <row r="148" spans="1:14" x14ac:dyDescent="0.2">
      <c r="A148" t="s">
        <v>129</v>
      </c>
      <c r="B148" t="s">
        <v>31</v>
      </c>
      <c r="C148" s="1">
        <v>45505</v>
      </c>
      <c r="D148" t="s">
        <v>15</v>
      </c>
      <c r="E148" t="s">
        <v>64</v>
      </c>
      <c r="F148">
        <v>1674</v>
      </c>
      <c r="G148">
        <v>929</v>
      </c>
      <c r="H148">
        <v>37</v>
      </c>
      <c r="I148">
        <v>21762</v>
      </c>
      <c r="J148">
        <v>20998</v>
      </c>
      <c r="K148">
        <v>255</v>
      </c>
      <c r="L148" t="s">
        <v>23</v>
      </c>
      <c r="M148" t="s">
        <v>35</v>
      </c>
      <c r="N148">
        <f>(Posts[[#This Row],[Likes]]+Posts[[#This Row],[Shares]]+Posts[[#This Row],[Comments]])/Posts[[#This Row],[Impressions]]</f>
        <v>0.12131237937689551</v>
      </c>
    </row>
    <row r="149" spans="1:14" x14ac:dyDescent="0.2">
      <c r="A149" t="s">
        <v>312</v>
      </c>
      <c r="B149" t="s">
        <v>38</v>
      </c>
      <c r="C149" s="1">
        <v>45750</v>
      </c>
      <c r="D149" t="s">
        <v>32</v>
      </c>
      <c r="E149" t="s">
        <v>56</v>
      </c>
      <c r="F149">
        <v>3767</v>
      </c>
      <c r="G149">
        <v>514</v>
      </c>
      <c r="H149">
        <v>238</v>
      </c>
      <c r="I149">
        <v>37670</v>
      </c>
      <c r="J149">
        <v>36807</v>
      </c>
      <c r="K149">
        <v>226</v>
      </c>
      <c r="L149" t="s">
        <v>17</v>
      </c>
      <c r="M149" t="s">
        <v>35</v>
      </c>
      <c r="N149">
        <f>(Posts[[#This Row],[Likes]]+Posts[[#This Row],[Shares]]+Posts[[#This Row],[Comments]])/Posts[[#This Row],[Impressions]]</f>
        <v>0.11996283514733209</v>
      </c>
    </row>
    <row r="150" spans="1:14" x14ac:dyDescent="0.2">
      <c r="A150" t="s">
        <v>125</v>
      </c>
      <c r="B150" t="s">
        <v>27</v>
      </c>
      <c r="C150" s="1">
        <v>45537</v>
      </c>
      <c r="D150" t="s">
        <v>39</v>
      </c>
      <c r="E150" t="s">
        <v>54</v>
      </c>
      <c r="F150">
        <v>2551</v>
      </c>
      <c r="G150">
        <v>915</v>
      </c>
      <c r="H150">
        <v>205</v>
      </c>
      <c r="I150">
        <v>30612</v>
      </c>
      <c r="J150">
        <v>30360</v>
      </c>
      <c r="K150">
        <v>227</v>
      </c>
      <c r="L150" t="s">
        <v>23</v>
      </c>
      <c r="M150" t="s">
        <v>24</v>
      </c>
      <c r="N150">
        <f>(Posts[[#This Row],[Likes]]+Posts[[#This Row],[Shares]]+Posts[[#This Row],[Comments]])/Posts[[#This Row],[Impressions]]</f>
        <v>0.1199202926956749</v>
      </c>
    </row>
    <row r="151" spans="1:14" x14ac:dyDescent="0.2">
      <c r="A151" t="s">
        <v>119</v>
      </c>
      <c r="B151" t="s">
        <v>31</v>
      </c>
      <c r="C151" s="1">
        <v>45744</v>
      </c>
      <c r="D151" t="s">
        <v>32</v>
      </c>
      <c r="E151" t="s">
        <v>33</v>
      </c>
      <c r="F151">
        <v>1881</v>
      </c>
      <c r="G151">
        <v>501</v>
      </c>
      <c r="H151">
        <v>99</v>
      </c>
      <c r="I151">
        <v>20691</v>
      </c>
      <c r="J151">
        <v>19987</v>
      </c>
      <c r="K151">
        <v>289</v>
      </c>
      <c r="L151" t="s">
        <v>34</v>
      </c>
      <c r="M151" t="s">
        <v>57</v>
      </c>
      <c r="N151">
        <f>(Posts[[#This Row],[Likes]]+Posts[[#This Row],[Shares]]+Posts[[#This Row],[Comments]])/Posts[[#This Row],[Impressions]]</f>
        <v>0.11990720603160794</v>
      </c>
    </row>
    <row r="152" spans="1:14" x14ac:dyDescent="0.2">
      <c r="A152" t="s">
        <v>304</v>
      </c>
      <c r="B152" t="s">
        <v>38</v>
      </c>
      <c r="C152" s="1">
        <v>45531</v>
      </c>
      <c r="D152" t="s">
        <v>15</v>
      </c>
      <c r="E152" t="s">
        <v>52</v>
      </c>
      <c r="F152">
        <v>3960</v>
      </c>
      <c r="G152">
        <v>266</v>
      </c>
      <c r="H152">
        <v>8</v>
      </c>
      <c r="I152">
        <v>35640</v>
      </c>
      <c r="J152">
        <v>34850</v>
      </c>
      <c r="K152">
        <v>208</v>
      </c>
      <c r="L152" t="s">
        <v>17</v>
      </c>
      <c r="M152" t="s">
        <v>57</v>
      </c>
      <c r="N152">
        <f>(Posts[[#This Row],[Likes]]+Posts[[#This Row],[Shares]]+Posts[[#This Row],[Comments]])/Posts[[#This Row],[Impressions]]</f>
        <v>0.11879910213243547</v>
      </c>
    </row>
    <row r="153" spans="1:14" x14ac:dyDescent="0.2">
      <c r="A153" t="s">
        <v>304</v>
      </c>
      <c r="B153" t="s">
        <v>38</v>
      </c>
      <c r="C153" s="1">
        <v>45531</v>
      </c>
      <c r="D153" t="s">
        <v>15</v>
      </c>
      <c r="E153" t="s">
        <v>52</v>
      </c>
      <c r="F153">
        <v>3960</v>
      </c>
      <c r="G153">
        <v>266</v>
      </c>
      <c r="H153">
        <v>8</v>
      </c>
      <c r="I153">
        <v>35640</v>
      </c>
      <c r="J153">
        <v>34850</v>
      </c>
      <c r="K153">
        <v>208</v>
      </c>
      <c r="L153" t="s">
        <v>34</v>
      </c>
      <c r="M153" t="s">
        <v>57</v>
      </c>
      <c r="N153">
        <f>(Posts[[#This Row],[Likes]]+Posts[[#This Row],[Shares]]+Posts[[#This Row],[Comments]])/Posts[[#This Row],[Impressions]]</f>
        <v>0.11879910213243547</v>
      </c>
    </row>
    <row r="154" spans="1:14" x14ac:dyDescent="0.2">
      <c r="A154" t="s">
        <v>304</v>
      </c>
      <c r="B154" t="s">
        <v>38</v>
      </c>
      <c r="C154" s="1">
        <v>45531</v>
      </c>
      <c r="D154" t="s">
        <v>15</v>
      </c>
      <c r="E154" t="s">
        <v>52</v>
      </c>
      <c r="F154">
        <v>3960</v>
      </c>
      <c r="G154">
        <v>266</v>
      </c>
      <c r="H154">
        <v>8</v>
      </c>
      <c r="I154">
        <v>35640</v>
      </c>
      <c r="J154">
        <v>34850</v>
      </c>
      <c r="K154">
        <v>208</v>
      </c>
      <c r="L154" t="s">
        <v>25</v>
      </c>
      <c r="M154" t="s">
        <v>57</v>
      </c>
      <c r="N154">
        <f>(Posts[[#This Row],[Likes]]+Posts[[#This Row],[Shares]]+Posts[[#This Row],[Comments]])/Posts[[#This Row],[Impressions]]</f>
        <v>0.11879910213243547</v>
      </c>
    </row>
    <row r="155" spans="1:14" x14ac:dyDescent="0.2">
      <c r="A155" t="s">
        <v>85</v>
      </c>
      <c r="B155" t="s">
        <v>31</v>
      </c>
      <c r="C155" s="1">
        <v>45626</v>
      </c>
      <c r="D155" t="s">
        <v>59</v>
      </c>
      <c r="E155" t="s">
        <v>66</v>
      </c>
      <c r="F155">
        <v>3775</v>
      </c>
      <c r="G155">
        <v>16</v>
      </c>
      <c r="H155">
        <v>239</v>
      </c>
      <c r="I155">
        <v>33975</v>
      </c>
      <c r="J155">
        <v>33310</v>
      </c>
      <c r="K155">
        <v>271</v>
      </c>
      <c r="L155" t="s">
        <v>17</v>
      </c>
      <c r="M155" t="s">
        <v>24</v>
      </c>
      <c r="N155">
        <f>(Posts[[#This Row],[Likes]]+Posts[[#This Row],[Shares]]+Posts[[#This Row],[Comments]])/Posts[[#This Row],[Impressions]]</f>
        <v>0.11861662987490802</v>
      </c>
    </row>
    <row r="156" spans="1:14" x14ac:dyDescent="0.2">
      <c r="A156" t="s">
        <v>173</v>
      </c>
      <c r="B156" t="s">
        <v>14</v>
      </c>
      <c r="C156" s="1">
        <v>45600</v>
      </c>
      <c r="D156" t="s">
        <v>44</v>
      </c>
      <c r="E156" t="s">
        <v>91</v>
      </c>
      <c r="F156">
        <v>1606</v>
      </c>
      <c r="G156">
        <v>451</v>
      </c>
      <c r="H156">
        <v>405</v>
      </c>
      <c r="I156">
        <v>20878</v>
      </c>
      <c r="J156">
        <v>20190</v>
      </c>
      <c r="K156">
        <v>219</v>
      </c>
      <c r="L156" t="s">
        <v>34</v>
      </c>
      <c r="M156" t="s">
        <v>35</v>
      </c>
      <c r="N156">
        <f>(Posts[[#This Row],[Likes]]+Posts[[#This Row],[Shares]]+Posts[[#This Row],[Comments]])/Posts[[#This Row],[Impressions]]</f>
        <v>0.11792317271769326</v>
      </c>
    </row>
    <row r="157" spans="1:14" x14ac:dyDescent="0.2">
      <c r="A157" t="s">
        <v>308</v>
      </c>
      <c r="B157" t="s">
        <v>31</v>
      </c>
      <c r="C157" s="1">
        <v>45743</v>
      </c>
      <c r="D157" t="s">
        <v>39</v>
      </c>
      <c r="E157" t="s">
        <v>68</v>
      </c>
      <c r="F157">
        <v>1377</v>
      </c>
      <c r="G157">
        <v>796</v>
      </c>
      <c r="H157">
        <v>387</v>
      </c>
      <c r="I157">
        <v>22032</v>
      </c>
      <c r="J157">
        <v>21869</v>
      </c>
      <c r="K157">
        <v>189</v>
      </c>
      <c r="L157" t="s">
        <v>17</v>
      </c>
      <c r="M157" t="s">
        <v>57</v>
      </c>
      <c r="N157">
        <f>(Posts[[#This Row],[Likes]]+Posts[[#This Row],[Shares]]+Posts[[#This Row],[Comments]])/Posts[[#This Row],[Impressions]]</f>
        <v>0.11619462599854757</v>
      </c>
    </row>
    <row r="158" spans="1:14" x14ac:dyDescent="0.2">
      <c r="A158" t="s">
        <v>50</v>
      </c>
      <c r="B158" t="s">
        <v>31</v>
      </c>
      <c r="C158" s="1">
        <v>45690</v>
      </c>
      <c r="D158" t="s">
        <v>32</v>
      </c>
      <c r="E158" t="s">
        <v>33</v>
      </c>
      <c r="F158">
        <v>1792</v>
      </c>
      <c r="G158">
        <v>614</v>
      </c>
      <c r="H158">
        <v>497</v>
      </c>
      <c r="I158">
        <v>25088</v>
      </c>
      <c r="J158">
        <v>24675</v>
      </c>
      <c r="K158">
        <v>65</v>
      </c>
      <c r="L158" t="s">
        <v>17</v>
      </c>
      <c r="M158" t="s">
        <v>35</v>
      </c>
      <c r="N158">
        <f>(Posts[[#This Row],[Likes]]+Posts[[#This Row],[Shares]]+Posts[[#This Row],[Comments]])/Posts[[#This Row],[Impressions]]</f>
        <v>0.11571269132653061</v>
      </c>
    </row>
    <row r="159" spans="1:14" x14ac:dyDescent="0.2">
      <c r="A159" t="s">
        <v>218</v>
      </c>
      <c r="B159" t="s">
        <v>14</v>
      </c>
      <c r="C159" s="1">
        <v>45707</v>
      </c>
      <c r="D159" t="s">
        <v>21</v>
      </c>
      <c r="E159" t="s">
        <v>22</v>
      </c>
      <c r="F159">
        <v>4671</v>
      </c>
      <c r="G159">
        <v>876</v>
      </c>
      <c r="H159">
        <v>366</v>
      </c>
      <c r="I159">
        <v>51381</v>
      </c>
      <c r="J159">
        <v>50565</v>
      </c>
      <c r="K159">
        <v>245</v>
      </c>
      <c r="L159" t="s">
        <v>23</v>
      </c>
      <c r="M159" t="s">
        <v>35</v>
      </c>
      <c r="N159">
        <f>(Posts[[#This Row],[Likes]]+Posts[[#This Row],[Shares]]+Posts[[#This Row],[Comments]])/Posts[[#This Row],[Impressions]]</f>
        <v>0.11508145034156594</v>
      </c>
    </row>
    <row r="160" spans="1:14" x14ac:dyDescent="0.2">
      <c r="A160" t="s">
        <v>212</v>
      </c>
      <c r="B160" t="s">
        <v>27</v>
      </c>
      <c r="C160" s="1">
        <v>45647</v>
      </c>
      <c r="D160" t="s">
        <v>44</v>
      </c>
      <c r="E160" t="s">
        <v>45</v>
      </c>
      <c r="F160">
        <v>2283</v>
      </c>
      <c r="G160">
        <v>210</v>
      </c>
      <c r="H160">
        <v>130</v>
      </c>
      <c r="I160">
        <v>22830</v>
      </c>
      <c r="J160">
        <v>22617</v>
      </c>
      <c r="K160">
        <v>143</v>
      </c>
      <c r="L160" t="s">
        <v>17</v>
      </c>
      <c r="M160" t="s">
        <v>24</v>
      </c>
      <c r="N160">
        <f>(Posts[[#This Row],[Likes]]+Posts[[#This Row],[Shares]]+Posts[[#This Row],[Comments]])/Posts[[#This Row],[Impressions]]</f>
        <v>0.11489268506351293</v>
      </c>
    </row>
    <row r="161" spans="1:14" x14ac:dyDescent="0.2">
      <c r="A161" t="s">
        <v>341</v>
      </c>
      <c r="B161" t="s">
        <v>14</v>
      </c>
      <c r="C161" s="1">
        <v>45552</v>
      </c>
      <c r="D161" t="s">
        <v>21</v>
      </c>
      <c r="E161" t="s">
        <v>22</v>
      </c>
      <c r="F161">
        <v>571</v>
      </c>
      <c r="G161">
        <v>190</v>
      </c>
      <c r="H161">
        <v>352</v>
      </c>
      <c r="I161">
        <v>9707</v>
      </c>
      <c r="J161">
        <v>9418</v>
      </c>
      <c r="K161">
        <v>231</v>
      </c>
      <c r="L161" t="s">
        <v>23</v>
      </c>
      <c r="M161" t="s">
        <v>35</v>
      </c>
      <c r="N161">
        <f>(Posts[[#This Row],[Likes]]+Posts[[#This Row],[Shares]]+Posts[[#This Row],[Comments]])/Posts[[#This Row],[Impressions]]</f>
        <v>0.11465952405480581</v>
      </c>
    </row>
    <row r="162" spans="1:14" x14ac:dyDescent="0.2">
      <c r="A162" t="s">
        <v>169</v>
      </c>
      <c r="B162" t="s">
        <v>14</v>
      </c>
      <c r="C162" s="1">
        <v>45567</v>
      </c>
      <c r="D162" t="s">
        <v>39</v>
      </c>
      <c r="E162" t="s">
        <v>42</v>
      </c>
      <c r="F162">
        <v>4419</v>
      </c>
      <c r="G162">
        <v>236</v>
      </c>
      <c r="H162">
        <v>369</v>
      </c>
      <c r="I162">
        <v>44190</v>
      </c>
      <c r="J162">
        <v>43582</v>
      </c>
      <c r="K162">
        <v>10</v>
      </c>
      <c r="L162" t="s">
        <v>34</v>
      </c>
      <c r="M162" t="s">
        <v>18</v>
      </c>
      <c r="N162">
        <f>(Posts[[#This Row],[Likes]]+Posts[[#This Row],[Shares]]+Posts[[#This Row],[Comments]])/Posts[[#This Row],[Impressions]]</f>
        <v>0.11369088028965829</v>
      </c>
    </row>
    <row r="163" spans="1:14" x14ac:dyDescent="0.2">
      <c r="A163" t="s">
        <v>215</v>
      </c>
      <c r="B163" t="s">
        <v>31</v>
      </c>
      <c r="C163" s="1">
        <v>45515</v>
      </c>
      <c r="D163" t="s">
        <v>32</v>
      </c>
      <c r="E163" t="s">
        <v>33</v>
      </c>
      <c r="F163">
        <v>1762</v>
      </c>
      <c r="G163">
        <v>405</v>
      </c>
      <c r="H163">
        <v>423</v>
      </c>
      <c r="I163">
        <v>22906</v>
      </c>
      <c r="J163">
        <v>21925</v>
      </c>
      <c r="K163">
        <v>25</v>
      </c>
      <c r="L163" t="s">
        <v>23</v>
      </c>
      <c r="M163" t="s">
        <v>18</v>
      </c>
      <c r="N163">
        <f>(Posts[[#This Row],[Likes]]+Posts[[#This Row],[Shares]]+Posts[[#This Row],[Comments]])/Posts[[#This Row],[Impressions]]</f>
        <v>0.11307081114118571</v>
      </c>
    </row>
    <row r="164" spans="1:14" x14ac:dyDescent="0.2">
      <c r="A164" t="s">
        <v>154</v>
      </c>
      <c r="B164" t="s">
        <v>14</v>
      </c>
      <c r="C164" s="1">
        <v>45453</v>
      </c>
      <c r="D164" t="s">
        <v>32</v>
      </c>
      <c r="E164" t="s">
        <v>101</v>
      </c>
      <c r="F164">
        <v>1575</v>
      </c>
      <c r="G164">
        <v>771</v>
      </c>
      <c r="H164">
        <v>486</v>
      </c>
      <c r="I164">
        <v>25200</v>
      </c>
      <c r="J164">
        <v>24826</v>
      </c>
      <c r="K164">
        <v>17</v>
      </c>
      <c r="L164" t="s">
        <v>17</v>
      </c>
      <c r="M164" t="s">
        <v>35</v>
      </c>
      <c r="N164">
        <f>(Posts[[#This Row],[Likes]]+Posts[[#This Row],[Shares]]+Posts[[#This Row],[Comments]])/Posts[[#This Row],[Impressions]]</f>
        <v>0.11238095238095239</v>
      </c>
    </row>
    <row r="165" spans="1:14" x14ac:dyDescent="0.2">
      <c r="A165" t="s">
        <v>284</v>
      </c>
      <c r="B165" t="s">
        <v>31</v>
      </c>
      <c r="C165" s="1">
        <v>45455</v>
      </c>
      <c r="D165" t="s">
        <v>21</v>
      </c>
      <c r="E165" t="s">
        <v>81</v>
      </c>
      <c r="F165">
        <v>246</v>
      </c>
      <c r="G165">
        <v>149</v>
      </c>
      <c r="H165">
        <v>130</v>
      </c>
      <c r="I165">
        <v>4674</v>
      </c>
      <c r="J165">
        <v>4390</v>
      </c>
      <c r="K165">
        <v>217</v>
      </c>
      <c r="L165" t="s">
        <v>17</v>
      </c>
      <c r="M165" t="s">
        <v>29</v>
      </c>
      <c r="N165">
        <f>(Posts[[#This Row],[Likes]]+Posts[[#This Row],[Shares]]+Posts[[#This Row],[Comments]])/Posts[[#This Row],[Impressions]]</f>
        <v>0.11232349165596919</v>
      </c>
    </row>
    <row r="166" spans="1:14" x14ac:dyDescent="0.2">
      <c r="A166" t="s">
        <v>279</v>
      </c>
      <c r="B166" t="s">
        <v>38</v>
      </c>
      <c r="C166" s="1">
        <v>45573</v>
      </c>
      <c r="D166" t="s">
        <v>15</v>
      </c>
      <c r="E166" t="s">
        <v>52</v>
      </c>
      <c r="F166">
        <v>1814</v>
      </c>
      <c r="G166">
        <v>653</v>
      </c>
      <c r="H166">
        <v>363</v>
      </c>
      <c r="I166">
        <v>25396</v>
      </c>
      <c r="J166">
        <v>25286</v>
      </c>
      <c r="K166">
        <v>39</v>
      </c>
      <c r="L166" t="s">
        <v>17</v>
      </c>
      <c r="M166" t="s">
        <v>18</v>
      </c>
      <c r="N166">
        <f>(Posts[[#This Row],[Likes]]+Posts[[#This Row],[Shares]]+Posts[[#This Row],[Comments]])/Posts[[#This Row],[Impressions]]</f>
        <v>0.11143487163332809</v>
      </c>
    </row>
    <row r="167" spans="1:14" x14ac:dyDescent="0.2">
      <c r="A167" t="s">
        <v>279</v>
      </c>
      <c r="B167" t="s">
        <v>38</v>
      </c>
      <c r="C167" s="1">
        <v>45573</v>
      </c>
      <c r="D167" t="s">
        <v>15</v>
      </c>
      <c r="E167" t="s">
        <v>52</v>
      </c>
      <c r="F167">
        <v>1814</v>
      </c>
      <c r="G167">
        <v>653</v>
      </c>
      <c r="H167">
        <v>363</v>
      </c>
      <c r="I167">
        <v>25396</v>
      </c>
      <c r="J167">
        <v>25286</v>
      </c>
      <c r="K167">
        <v>39</v>
      </c>
      <c r="L167" t="s">
        <v>197</v>
      </c>
      <c r="M167" t="s">
        <v>18</v>
      </c>
      <c r="N167">
        <f>(Posts[[#This Row],[Likes]]+Posts[[#This Row],[Shares]]+Posts[[#This Row],[Comments]])/Posts[[#This Row],[Impressions]]</f>
        <v>0.11143487163332809</v>
      </c>
    </row>
    <row r="168" spans="1:14" x14ac:dyDescent="0.2">
      <c r="A168" t="s">
        <v>335</v>
      </c>
      <c r="B168" t="s">
        <v>14</v>
      </c>
      <c r="C168" s="1">
        <v>45622</v>
      </c>
      <c r="D168" t="s">
        <v>21</v>
      </c>
      <c r="E168" t="s">
        <v>22</v>
      </c>
      <c r="F168">
        <v>4516</v>
      </c>
      <c r="G168">
        <v>836</v>
      </c>
      <c r="H168">
        <v>169</v>
      </c>
      <c r="I168">
        <v>49676</v>
      </c>
      <c r="J168">
        <v>49257</v>
      </c>
      <c r="K168">
        <v>282</v>
      </c>
      <c r="L168" t="s">
        <v>34</v>
      </c>
      <c r="M168" t="s">
        <v>35</v>
      </c>
      <c r="N168">
        <f>(Posts[[#This Row],[Likes]]+Posts[[#This Row],[Shares]]+Posts[[#This Row],[Comments]])/Posts[[#This Row],[Impressions]]</f>
        <v>0.11114018842096787</v>
      </c>
    </row>
    <row r="169" spans="1:14" x14ac:dyDescent="0.2">
      <c r="A169" t="s">
        <v>208</v>
      </c>
      <c r="B169" t="s">
        <v>31</v>
      </c>
      <c r="C169" s="1">
        <v>45499</v>
      </c>
      <c r="D169" t="s">
        <v>44</v>
      </c>
      <c r="E169" t="s">
        <v>137</v>
      </c>
      <c r="F169">
        <v>3559</v>
      </c>
      <c r="G169">
        <v>59</v>
      </c>
      <c r="H169">
        <v>289</v>
      </c>
      <c r="I169">
        <v>35590</v>
      </c>
      <c r="J169">
        <v>35105</v>
      </c>
      <c r="K169">
        <v>122</v>
      </c>
      <c r="L169" t="s">
        <v>34</v>
      </c>
      <c r="M169" t="s">
        <v>18</v>
      </c>
      <c r="N169">
        <f>(Posts[[#This Row],[Likes]]+Posts[[#This Row],[Shares]]+Posts[[#This Row],[Comments]])/Posts[[#This Row],[Impressions]]</f>
        <v>0.10977802753582468</v>
      </c>
    </row>
    <row r="170" spans="1:14" x14ac:dyDescent="0.2">
      <c r="A170" t="s">
        <v>213</v>
      </c>
      <c r="B170" t="s">
        <v>38</v>
      </c>
      <c r="C170" s="1">
        <v>45587</v>
      </c>
      <c r="D170" t="s">
        <v>39</v>
      </c>
      <c r="E170" t="s">
        <v>40</v>
      </c>
      <c r="F170">
        <v>3352</v>
      </c>
      <c r="G170">
        <v>941</v>
      </c>
      <c r="H170">
        <v>482</v>
      </c>
      <c r="I170">
        <v>43576</v>
      </c>
      <c r="J170">
        <v>43338</v>
      </c>
      <c r="K170">
        <v>240</v>
      </c>
      <c r="L170" t="s">
        <v>17</v>
      </c>
      <c r="M170" t="s">
        <v>24</v>
      </c>
      <c r="N170">
        <f>(Posts[[#This Row],[Likes]]+Posts[[#This Row],[Shares]]+Posts[[#This Row],[Comments]])/Posts[[#This Row],[Impressions]]</f>
        <v>0.1095786671562328</v>
      </c>
    </row>
    <row r="171" spans="1:14" x14ac:dyDescent="0.2">
      <c r="A171" t="s">
        <v>214</v>
      </c>
      <c r="B171" t="s">
        <v>27</v>
      </c>
      <c r="C171" s="1">
        <v>45496</v>
      </c>
      <c r="D171" t="s">
        <v>32</v>
      </c>
      <c r="E171" t="s">
        <v>104</v>
      </c>
      <c r="F171">
        <v>4775</v>
      </c>
      <c r="G171">
        <v>173</v>
      </c>
      <c r="H171">
        <v>206</v>
      </c>
      <c r="I171">
        <v>47750</v>
      </c>
      <c r="J171">
        <v>47544</v>
      </c>
      <c r="K171">
        <v>187</v>
      </c>
      <c r="L171" t="s">
        <v>17</v>
      </c>
      <c r="M171" t="s">
        <v>24</v>
      </c>
      <c r="N171">
        <f>(Posts[[#This Row],[Likes]]+Posts[[#This Row],[Shares]]+Posts[[#This Row],[Comments]])/Posts[[#This Row],[Impressions]]</f>
        <v>0.10793717277486911</v>
      </c>
    </row>
    <row r="172" spans="1:14" x14ac:dyDescent="0.2">
      <c r="A172" t="s">
        <v>263</v>
      </c>
      <c r="B172" t="s">
        <v>14</v>
      </c>
      <c r="C172" s="1">
        <v>45467</v>
      </c>
      <c r="D172" t="s">
        <v>21</v>
      </c>
      <c r="E172" t="s">
        <v>22</v>
      </c>
      <c r="F172">
        <v>941</v>
      </c>
      <c r="G172">
        <v>121</v>
      </c>
      <c r="H172">
        <v>458</v>
      </c>
      <c r="I172">
        <v>14115</v>
      </c>
      <c r="J172">
        <v>13838</v>
      </c>
      <c r="K172">
        <v>87</v>
      </c>
      <c r="L172" t="s">
        <v>34</v>
      </c>
      <c r="M172" t="s">
        <v>18</v>
      </c>
      <c r="N172">
        <f>(Posts[[#This Row],[Likes]]+Posts[[#This Row],[Shares]]+Posts[[#This Row],[Comments]])/Posts[[#This Row],[Impressions]]</f>
        <v>0.10768685795253277</v>
      </c>
    </row>
    <row r="173" spans="1:14" x14ac:dyDescent="0.2">
      <c r="A173" t="s">
        <v>339</v>
      </c>
      <c r="B173" t="s">
        <v>31</v>
      </c>
      <c r="C173" s="1">
        <v>45568</v>
      </c>
      <c r="D173" t="s">
        <v>59</v>
      </c>
      <c r="E173" t="s">
        <v>66</v>
      </c>
      <c r="F173">
        <v>1488</v>
      </c>
      <c r="G173">
        <v>417</v>
      </c>
      <c r="H173">
        <v>168</v>
      </c>
      <c r="I173">
        <v>19344</v>
      </c>
      <c r="J173">
        <v>18395</v>
      </c>
      <c r="K173">
        <v>30</v>
      </c>
      <c r="L173" t="s">
        <v>17</v>
      </c>
      <c r="M173" t="s">
        <v>29</v>
      </c>
      <c r="N173">
        <f>(Posts[[#This Row],[Likes]]+Posts[[#This Row],[Shares]]+Posts[[#This Row],[Comments]])/Posts[[#This Row],[Impressions]]</f>
        <v>0.1071650124069479</v>
      </c>
    </row>
    <row r="174" spans="1:14" x14ac:dyDescent="0.2">
      <c r="A174" t="s">
        <v>102</v>
      </c>
      <c r="B174" t="s">
        <v>14</v>
      </c>
      <c r="C174" s="1">
        <v>45453</v>
      </c>
      <c r="D174" t="s">
        <v>32</v>
      </c>
      <c r="E174" t="s">
        <v>101</v>
      </c>
      <c r="F174">
        <v>2164</v>
      </c>
      <c r="G174">
        <v>549</v>
      </c>
      <c r="H174">
        <v>274</v>
      </c>
      <c r="I174">
        <v>28132</v>
      </c>
      <c r="J174">
        <v>27361</v>
      </c>
      <c r="K174">
        <v>177</v>
      </c>
      <c r="L174" t="s">
        <v>23</v>
      </c>
      <c r="M174" t="s">
        <v>35</v>
      </c>
      <c r="N174">
        <f>(Posts[[#This Row],[Likes]]+Posts[[#This Row],[Shares]]+Posts[[#This Row],[Comments]])/Posts[[#This Row],[Impressions]]</f>
        <v>0.10617801791554102</v>
      </c>
    </row>
    <row r="175" spans="1:14" x14ac:dyDescent="0.2">
      <c r="A175" t="s">
        <v>262</v>
      </c>
      <c r="B175" t="s">
        <v>14</v>
      </c>
      <c r="C175" s="1">
        <v>45771</v>
      </c>
      <c r="D175" t="s">
        <v>59</v>
      </c>
      <c r="E175" t="s">
        <v>98</v>
      </c>
      <c r="F175">
        <v>3820</v>
      </c>
      <c r="G175">
        <v>697</v>
      </c>
      <c r="H175">
        <v>268</v>
      </c>
      <c r="I175">
        <v>45840</v>
      </c>
      <c r="J175">
        <v>45631</v>
      </c>
      <c r="K175">
        <v>171</v>
      </c>
      <c r="L175" t="s">
        <v>23</v>
      </c>
      <c r="M175" t="s">
        <v>35</v>
      </c>
      <c r="N175">
        <f>(Posts[[#This Row],[Likes]]+Posts[[#This Row],[Shares]]+Posts[[#This Row],[Comments]])/Posts[[#This Row],[Impressions]]</f>
        <v>0.1043848167539267</v>
      </c>
    </row>
    <row r="176" spans="1:14" x14ac:dyDescent="0.2">
      <c r="A176" t="s">
        <v>262</v>
      </c>
      <c r="B176" t="s">
        <v>14</v>
      </c>
      <c r="C176" s="1">
        <v>45771</v>
      </c>
      <c r="D176" t="s">
        <v>59</v>
      </c>
      <c r="E176" t="s">
        <v>98</v>
      </c>
      <c r="F176">
        <v>3820</v>
      </c>
      <c r="G176">
        <v>697</v>
      </c>
      <c r="H176">
        <v>268</v>
      </c>
      <c r="I176">
        <v>45840</v>
      </c>
      <c r="J176">
        <v>45631</v>
      </c>
      <c r="K176">
        <v>171</v>
      </c>
      <c r="L176" t="s">
        <v>197</v>
      </c>
      <c r="M176" t="s">
        <v>35</v>
      </c>
      <c r="N176">
        <f>(Posts[[#This Row],[Likes]]+Posts[[#This Row],[Shares]]+Posts[[#This Row],[Comments]])/Posts[[#This Row],[Impressions]]</f>
        <v>0.1043848167539267</v>
      </c>
    </row>
    <row r="177" spans="1:14" x14ac:dyDescent="0.2">
      <c r="A177" t="s">
        <v>43</v>
      </c>
      <c r="B177" t="s">
        <v>27</v>
      </c>
      <c r="C177" s="1">
        <v>45486</v>
      </c>
      <c r="D177" t="s">
        <v>44</v>
      </c>
      <c r="E177" t="s">
        <v>45</v>
      </c>
      <c r="F177">
        <v>3929</v>
      </c>
      <c r="G177">
        <v>262</v>
      </c>
      <c r="H177">
        <v>278</v>
      </c>
      <c r="I177">
        <v>43219</v>
      </c>
      <c r="J177">
        <v>42841</v>
      </c>
      <c r="K177">
        <v>39</v>
      </c>
      <c r="L177" t="s">
        <v>34</v>
      </c>
      <c r="M177" t="s">
        <v>35</v>
      </c>
      <c r="N177">
        <f>(Posts[[#This Row],[Likes]]+Posts[[#This Row],[Shares]]+Posts[[#This Row],[Comments]])/Posts[[#This Row],[Impressions]]</f>
        <v>0.10340359564080613</v>
      </c>
    </row>
    <row r="178" spans="1:14" x14ac:dyDescent="0.2">
      <c r="A178" t="s">
        <v>152</v>
      </c>
      <c r="B178" t="s">
        <v>14</v>
      </c>
      <c r="C178" s="1">
        <v>45545</v>
      </c>
      <c r="D178" t="s">
        <v>44</v>
      </c>
      <c r="E178" t="s">
        <v>91</v>
      </c>
      <c r="F178">
        <v>1238</v>
      </c>
      <c r="G178">
        <v>366</v>
      </c>
      <c r="H178">
        <v>444</v>
      </c>
      <c r="I178">
        <v>19808</v>
      </c>
      <c r="J178">
        <v>19334</v>
      </c>
      <c r="K178">
        <v>123</v>
      </c>
      <c r="L178" t="s">
        <v>17</v>
      </c>
      <c r="M178" t="s">
        <v>57</v>
      </c>
      <c r="N178">
        <f>(Posts[[#This Row],[Likes]]+Posts[[#This Row],[Shares]]+Posts[[#This Row],[Comments]])/Posts[[#This Row],[Impressions]]</f>
        <v>0.10339256865912763</v>
      </c>
    </row>
    <row r="179" spans="1:14" x14ac:dyDescent="0.2">
      <c r="A179" t="s">
        <v>63</v>
      </c>
      <c r="B179" t="s">
        <v>31</v>
      </c>
      <c r="C179" s="1">
        <v>45523</v>
      </c>
      <c r="D179" t="s">
        <v>15</v>
      </c>
      <c r="E179" t="s">
        <v>64</v>
      </c>
      <c r="F179">
        <v>3000</v>
      </c>
      <c r="G179">
        <v>382</v>
      </c>
      <c r="H179">
        <v>325</v>
      </c>
      <c r="I179">
        <v>36000</v>
      </c>
      <c r="J179">
        <v>35819</v>
      </c>
      <c r="K179">
        <v>19</v>
      </c>
      <c r="L179" t="s">
        <v>17</v>
      </c>
      <c r="M179" t="s">
        <v>18</v>
      </c>
      <c r="N179">
        <f>(Posts[[#This Row],[Likes]]+Posts[[#This Row],[Shares]]+Posts[[#This Row],[Comments]])/Posts[[#This Row],[Impressions]]</f>
        <v>0.10297222222222223</v>
      </c>
    </row>
    <row r="180" spans="1:14" x14ac:dyDescent="0.2">
      <c r="A180" t="s">
        <v>239</v>
      </c>
      <c r="B180" t="s">
        <v>38</v>
      </c>
      <c r="C180" s="1">
        <v>45504</v>
      </c>
      <c r="D180" t="s">
        <v>44</v>
      </c>
      <c r="E180" t="s">
        <v>49</v>
      </c>
      <c r="F180">
        <v>4689</v>
      </c>
      <c r="G180">
        <v>134</v>
      </c>
      <c r="H180">
        <v>403</v>
      </c>
      <c r="I180">
        <v>51579</v>
      </c>
      <c r="J180">
        <v>50924</v>
      </c>
      <c r="K180">
        <v>173</v>
      </c>
      <c r="L180" t="s">
        <v>23</v>
      </c>
      <c r="M180" t="s">
        <v>35</v>
      </c>
      <c r="N180">
        <f>(Posts[[#This Row],[Likes]]+Posts[[#This Row],[Shares]]+Posts[[#This Row],[Comments]])/Posts[[#This Row],[Impressions]]</f>
        <v>0.10132030477519921</v>
      </c>
    </row>
    <row r="181" spans="1:14" x14ac:dyDescent="0.2">
      <c r="A181" t="s">
        <v>323</v>
      </c>
      <c r="B181" t="s">
        <v>38</v>
      </c>
      <c r="C181" s="1">
        <v>45621</v>
      </c>
      <c r="D181" t="s">
        <v>32</v>
      </c>
      <c r="E181" t="s">
        <v>56</v>
      </c>
      <c r="F181">
        <v>4182</v>
      </c>
      <c r="G181">
        <v>640</v>
      </c>
      <c r="H181">
        <v>240</v>
      </c>
      <c r="I181">
        <v>50184</v>
      </c>
      <c r="J181">
        <v>49351</v>
      </c>
      <c r="K181">
        <v>10</v>
      </c>
      <c r="L181" t="s">
        <v>23</v>
      </c>
      <c r="M181" t="s">
        <v>29</v>
      </c>
      <c r="N181">
        <f>(Posts[[#This Row],[Likes]]+Posts[[#This Row],[Shares]]+Posts[[#This Row],[Comments]])/Posts[[#This Row],[Impressions]]</f>
        <v>0.10086880280567512</v>
      </c>
    </row>
    <row r="182" spans="1:14" x14ac:dyDescent="0.2">
      <c r="A182" t="s">
        <v>65</v>
      </c>
      <c r="B182" t="s">
        <v>31</v>
      </c>
      <c r="C182" s="1">
        <v>45466</v>
      </c>
      <c r="D182" t="s">
        <v>59</v>
      </c>
      <c r="E182" t="s">
        <v>66</v>
      </c>
      <c r="F182">
        <v>1071</v>
      </c>
      <c r="G182">
        <v>519</v>
      </c>
      <c r="H182">
        <v>22</v>
      </c>
      <c r="I182">
        <v>16065</v>
      </c>
      <c r="J182">
        <v>15865</v>
      </c>
      <c r="K182">
        <v>103</v>
      </c>
      <c r="L182" t="s">
        <v>23</v>
      </c>
      <c r="M182" t="s">
        <v>35</v>
      </c>
      <c r="N182">
        <f>(Posts[[#This Row],[Likes]]+Posts[[#This Row],[Shares]]+Posts[[#This Row],[Comments]])/Posts[[#This Row],[Impressions]]</f>
        <v>0.10034235916588857</v>
      </c>
    </row>
    <row r="183" spans="1:14" x14ac:dyDescent="0.2">
      <c r="A183" t="s">
        <v>164</v>
      </c>
      <c r="B183" t="s">
        <v>14</v>
      </c>
      <c r="C183" s="1">
        <v>45741</v>
      </c>
      <c r="D183" t="s">
        <v>59</v>
      </c>
      <c r="E183" t="s">
        <v>98</v>
      </c>
      <c r="F183">
        <v>4050</v>
      </c>
      <c r="G183">
        <v>871</v>
      </c>
      <c r="H183">
        <v>347</v>
      </c>
      <c r="I183">
        <v>52650</v>
      </c>
      <c r="J183">
        <v>51755</v>
      </c>
      <c r="K183">
        <v>209</v>
      </c>
      <c r="L183" t="s">
        <v>23</v>
      </c>
      <c r="M183" t="s">
        <v>24</v>
      </c>
      <c r="N183">
        <f>(Posts[[#This Row],[Likes]]+Posts[[#This Row],[Shares]]+Posts[[#This Row],[Comments]])/Posts[[#This Row],[Impressions]]</f>
        <v>0.10005698005698006</v>
      </c>
    </row>
    <row r="184" spans="1:14" x14ac:dyDescent="0.2">
      <c r="A184" t="s">
        <v>182</v>
      </c>
      <c r="B184" t="s">
        <v>31</v>
      </c>
      <c r="C184" s="1">
        <v>45744</v>
      </c>
      <c r="D184" t="s">
        <v>39</v>
      </c>
      <c r="E184" t="s">
        <v>68</v>
      </c>
      <c r="F184">
        <v>4158</v>
      </c>
      <c r="G184">
        <v>167</v>
      </c>
      <c r="H184">
        <v>241</v>
      </c>
      <c r="I184">
        <v>45738</v>
      </c>
      <c r="J184">
        <v>45183</v>
      </c>
      <c r="K184">
        <v>142</v>
      </c>
      <c r="L184" t="s">
        <v>17</v>
      </c>
      <c r="M184" t="s">
        <v>57</v>
      </c>
      <c r="N184">
        <f>(Posts[[#This Row],[Likes]]+Posts[[#This Row],[Shares]]+Posts[[#This Row],[Comments]])/Posts[[#This Row],[Impressions]]</f>
        <v>9.9829463465827106E-2</v>
      </c>
    </row>
    <row r="185" spans="1:14" x14ac:dyDescent="0.2">
      <c r="A185" t="s">
        <v>159</v>
      </c>
      <c r="B185" t="s">
        <v>38</v>
      </c>
      <c r="C185" s="1">
        <v>45454</v>
      </c>
      <c r="D185" t="s">
        <v>44</v>
      </c>
      <c r="E185" t="s">
        <v>49</v>
      </c>
      <c r="F185">
        <v>3689</v>
      </c>
      <c r="G185">
        <v>48</v>
      </c>
      <c r="H185">
        <v>306</v>
      </c>
      <c r="I185">
        <v>40579</v>
      </c>
      <c r="J185">
        <v>39588</v>
      </c>
      <c r="K185">
        <v>212</v>
      </c>
      <c r="L185" t="s">
        <v>34</v>
      </c>
      <c r="M185" t="s">
        <v>24</v>
      </c>
      <c r="N185">
        <f>(Posts[[#This Row],[Likes]]+Posts[[#This Row],[Shares]]+Posts[[#This Row],[Comments]])/Posts[[#This Row],[Impressions]]</f>
        <v>9.9632815002833983E-2</v>
      </c>
    </row>
    <row r="186" spans="1:14" x14ac:dyDescent="0.2">
      <c r="A186" t="s">
        <v>248</v>
      </c>
      <c r="B186" t="s">
        <v>27</v>
      </c>
      <c r="C186" s="1">
        <v>45629</v>
      </c>
      <c r="D186" t="s">
        <v>32</v>
      </c>
      <c r="E186" t="s">
        <v>104</v>
      </c>
      <c r="F186">
        <v>4285</v>
      </c>
      <c r="G186">
        <v>886</v>
      </c>
      <c r="H186">
        <v>376</v>
      </c>
      <c r="I186">
        <v>55705</v>
      </c>
      <c r="J186">
        <v>55556</v>
      </c>
      <c r="K186">
        <v>51</v>
      </c>
      <c r="L186" t="s">
        <v>17</v>
      </c>
      <c r="M186" t="s">
        <v>29</v>
      </c>
      <c r="N186">
        <f>(Posts[[#This Row],[Likes]]+Posts[[#This Row],[Shares]]+Posts[[#This Row],[Comments]])/Posts[[#This Row],[Impressions]]</f>
        <v>9.9578134817341346E-2</v>
      </c>
    </row>
    <row r="187" spans="1:14" x14ac:dyDescent="0.2">
      <c r="A187" t="s">
        <v>250</v>
      </c>
      <c r="B187" t="s">
        <v>14</v>
      </c>
      <c r="C187" s="1">
        <v>45546</v>
      </c>
      <c r="D187" t="s">
        <v>44</v>
      </c>
      <c r="E187" t="s">
        <v>91</v>
      </c>
      <c r="F187">
        <v>4858</v>
      </c>
      <c r="G187">
        <v>317</v>
      </c>
      <c r="H187">
        <v>129</v>
      </c>
      <c r="I187">
        <v>53438</v>
      </c>
      <c r="J187">
        <v>52687</v>
      </c>
      <c r="K187">
        <v>223</v>
      </c>
      <c r="L187" t="s">
        <v>34</v>
      </c>
      <c r="M187" t="s">
        <v>29</v>
      </c>
      <c r="N187">
        <f>(Posts[[#This Row],[Likes]]+Posts[[#This Row],[Shares]]+Posts[[#This Row],[Comments]])/Posts[[#This Row],[Impressions]]</f>
        <v>9.9255211647142488E-2</v>
      </c>
    </row>
    <row r="188" spans="1:14" x14ac:dyDescent="0.2">
      <c r="A188" t="s">
        <v>224</v>
      </c>
      <c r="B188" t="s">
        <v>31</v>
      </c>
      <c r="C188" s="1">
        <v>45624</v>
      </c>
      <c r="D188" t="s">
        <v>21</v>
      </c>
      <c r="E188" t="s">
        <v>81</v>
      </c>
      <c r="F188">
        <v>4771</v>
      </c>
      <c r="G188">
        <v>818</v>
      </c>
      <c r="H188">
        <v>56</v>
      </c>
      <c r="I188">
        <v>57252</v>
      </c>
      <c r="J188">
        <v>56378</v>
      </c>
      <c r="K188">
        <v>150</v>
      </c>
      <c r="L188" t="s">
        <v>17</v>
      </c>
      <c r="M188" t="s">
        <v>57</v>
      </c>
      <c r="N188">
        <f>(Posts[[#This Row],[Likes]]+Posts[[#This Row],[Shares]]+Posts[[#This Row],[Comments]])/Posts[[#This Row],[Impressions]]</f>
        <v>9.859917557465242E-2</v>
      </c>
    </row>
    <row r="189" spans="1:14" x14ac:dyDescent="0.2">
      <c r="A189" t="s">
        <v>95</v>
      </c>
      <c r="B189" t="s">
        <v>14</v>
      </c>
      <c r="C189" s="1">
        <v>45718</v>
      </c>
      <c r="D189" t="s">
        <v>44</v>
      </c>
      <c r="E189" t="s">
        <v>91</v>
      </c>
      <c r="F189">
        <v>2358</v>
      </c>
      <c r="G189">
        <v>784</v>
      </c>
      <c r="H189">
        <v>344</v>
      </c>
      <c r="I189">
        <v>35370</v>
      </c>
      <c r="J189">
        <v>34475</v>
      </c>
      <c r="K189">
        <v>216</v>
      </c>
      <c r="L189" t="s">
        <v>23</v>
      </c>
      <c r="M189" t="s">
        <v>57</v>
      </c>
      <c r="N189">
        <f>(Posts[[#This Row],[Likes]]+Posts[[#This Row],[Shares]]+Posts[[#This Row],[Comments]])/Posts[[#This Row],[Impressions]]</f>
        <v>9.8558100084817649E-2</v>
      </c>
    </row>
    <row r="190" spans="1:14" x14ac:dyDescent="0.2">
      <c r="A190" t="s">
        <v>228</v>
      </c>
      <c r="B190" t="s">
        <v>27</v>
      </c>
      <c r="C190" s="1">
        <v>45657</v>
      </c>
      <c r="D190" t="s">
        <v>59</v>
      </c>
      <c r="E190" t="s">
        <v>139</v>
      </c>
      <c r="F190">
        <v>1018</v>
      </c>
      <c r="G190">
        <v>447</v>
      </c>
      <c r="H190">
        <v>332</v>
      </c>
      <c r="I190">
        <v>18324</v>
      </c>
      <c r="J190">
        <v>18164</v>
      </c>
      <c r="K190">
        <v>38</v>
      </c>
      <c r="L190" t="s">
        <v>17</v>
      </c>
      <c r="M190" t="s">
        <v>24</v>
      </c>
      <c r="N190">
        <f>(Posts[[#This Row],[Likes]]+Posts[[#This Row],[Shares]]+Posts[[#This Row],[Comments]])/Posts[[#This Row],[Impressions]]</f>
        <v>9.8068107400130972E-2</v>
      </c>
    </row>
    <row r="191" spans="1:14" x14ac:dyDescent="0.2">
      <c r="A191" t="s">
        <v>330</v>
      </c>
      <c r="B191" t="s">
        <v>27</v>
      </c>
      <c r="C191" s="1">
        <v>45577</v>
      </c>
      <c r="D191" t="s">
        <v>32</v>
      </c>
      <c r="E191" t="s">
        <v>104</v>
      </c>
      <c r="F191">
        <v>3641</v>
      </c>
      <c r="G191">
        <v>226</v>
      </c>
      <c r="H191">
        <v>46</v>
      </c>
      <c r="I191">
        <v>40051</v>
      </c>
      <c r="J191">
        <v>39319</v>
      </c>
      <c r="K191">
        <v>296</v>
      </c>
      <c r="L191" t="s">
        <v>34</v>
      </c>
      <c r="M191" t="s">
        <v>35</v>
      </c>
      <c r="N191">
        <f>(Posts[[#This Row],[Likes]]+Posts[[#This Row],[Shares]]+Posts[[#This Row],[Comments]])/Posts[[#This Row],[Impressions]]</f>
        <v>9.7700431949264685E-2</v>
      </c>
    </row>
    <row r="192" spans="1:14" x14ac:dyDescent="0.2">
      <c r="A192" t="s">
        <v>300</v>
      </c>
      <c r="B192" t="s">
        <v>14</v>
      </c>
      <c r="C192" s="1">
        <v>45722</v>
      </c>
      <c r="D192" t="s">
        <v>44</v>
      </c>
      <c r="E192" t="s">
        <v>91</v>
      </c>
      <c r="F192">
        <v>3592</v>
      </c>
      <c r="G192">
        <v>911</v>
      </c>
      <c r="H192">
        <v>375</v>
      </c>
      <c r="I192">
        <v>50288</v>
      </c>
      <c r="J192">
        <v>49490</v>
      </c>
      <c r="K192">
        <v>32</v>
      </c>
      <c r="L192" t="s">
        <v>17</v>
      </c>
      <c r="M192" t="s">
        <v>35</v>
      </c>
      <c r="N192">
        <f>(Posts[[#This Row],[Likes]]+Posts[[#This Row],[Shares]]+Posts[[#This Row],[Comments]])/Posts[[#This Row],[Impressions]]</f>
        <v>9.7001272669424113E-2</v>
      </c>
    </row>
    <row r="193" spans="1:14" x14ac:dyDescent="0.2">
      <c r="A193" t="s">
        <v>242</v>
      </c>
      <c r="B193" t="s">
        <v>31</v>
      </c>
      <c r="C193" s="1">
        <v>45668</v>
      </c>
      <c r="D193" t="s">
        <v>39</v>
      </c>
      <c r="E193" t="s">
        <v>68</v>
      </c>
      <c r="F193">
        <v>4523</v>
      </c>
      <c r="G193">
        <v>61</v>
      </c>
      <c r="H193">
        <v>157</v>
      </c>
      <c r="I193">
        <v>49753</v>
      </c>
      <c r="J193">
        <v>49329</v>
      </c>
      <c r="K193">
        <v>71</v>
      </c>
      <c r="L193" t="s">
        <v>34</v>
      </c>
      <c r="M193" t="s">
        <v>57</v>
      </c>
      <c r="N193">
        <f>(Posts[[#This Row],[Likes]]+Posts[[#This Row],[Shares]]+Posts[[#This Row],[Comments]])/Posts[[#This Row],[Impressions]]</f>
        <v>9.5290736237010829E-2</v>
      </c>
    </row>
    <row r="194" spans="1:14" x14ac:dyDescent="0.2">
      <c r="A194" t="s">
        <v>135</v>
      </c>
      <c r="B194" t="s">
        <v>31</v>
      </c>
      <c r="C194" s="1">
        <v>45584</v>
      </c>
      <c r="D194" t="s">
        <v>32</v>
      </c>
      <c r="E194" t="s">
        <v>33</v>
      </c>
      <c r="F194">
        <v>1816</v>
      </c>
      <c r="G194">
        <v>29</v>
      </c>
      <c r="H194">
        <v>41</v>
      </c>
      <c r="I194">
        <v>19976</v>
      </c>
      <c r="J194">
        <v>19262</v>
      </c>
      <c r="K194">
        <v>283</v>
      </c>
      <c r="L194" t="s">
        <v>23</v>
      </c>
      <c r="M194" t="s">
        <v>29</v>
      </c>
      <c r="N194">
        <f>(Posts[[#This Row],[Likes]]+Posts[[#This Row],[Shares]]+Posts[[#This Row],[Comments]])/Posts[[#This Row],[Impressions]]</f>
        <v>9.4413295955146179E-2</v>
      </c>
    </row>
    <row r="195" spans="1:14" x14ac:dyDescent="0.2">
      <c r="A195" t="s">
        <v>62</v>
      </c>
      <c r="B195" t="s">
        <v>38</v>
      </c>
      <c r="C195" s="1">
        <v>45782</v>
      </c>
      <c r="D195" t="s">
        <v>21</v>
      </c>
      <c r="E195" t="s">
        <v>47</v>
      </c>
      <c r="F195">
        <v>4441</v>
      </c>
      <c r="G195">
        <v>511</v>
      </c>
      <c r="H195">
        <v>70</v>
      </c>
      <c r="I195">
        <v>53292</v>
      </c>
      <c r="J195">
        <v>53082</v>
      </c>
      <c r="K195">
        <v>159</v>
      </c>
      <c r="L195" t="s">
        <v>34</v>
      </c>
      <c r="M195" t="s">
        <v>35</v>
      </c>
      <c r="N195">
        <f>(Posts[[#This Row],[Likes]]+Posts[[#This Row],[Shares]]+Posts[[#This Row],[Comments]])/Posts[[#This Row],[Impressions]]</f>
        <v>9.4235532537716729E-2</v>
      </c>
    </row>
    <row r="196" spans="1:14" x14ac:dyDescent="0.2">
      <c r="A196" t="s">
        <v>195</v>
      </c>
      <c r="B196" t="s">
        <v>27</v>
      </c>
      <c r="C196" s="1">
        <v>45594</v>
      </c>
      <c r="D196" t="s">
        <v>21</v>
      </c>
      <c r="E196" t="s">
        <v>76</v>
      </c>
      <c r="F196">
        <v>2746</v>
      </c>
      <c r="G196">
        <v>156</v>
      </c>
      <c r="H196">
        <v>203</v>
      </c>
      <c r="I196">
        <v>32952</v>
      </c>
      <c r="J196">
        <v>32147</v>
      </c>
      <c r="K196">
        <v>147</v>
      </c>
      <c r="L196" t="s">
        <v>34</v>
      </c>
      <c r="M196" t="s">
        <v>18</v>
      </c>
      <c r="N196">
        <f>(Posts[[#This Row],[Likes]]+Posts[[#This Row],[Shares]]+Posts[[#This Row],[Comments]])/Posts[[#This Row],[Impressions]]</f>
        <v>9.422796795338674E-2</v>
      </c>
    </row>
    <row r="197" spans="1:14" x14ac:dyDescent="0.2">
      <c r="A197" t="s">
        <v>123</v>
      </c>
      <c r="B197" t="s">
        <v>14</v>
      </c>
      <c r="C197" s="1">
        <v>45724</v>
      </c>
      <c r="D197" t="s">
        <v>21</v>
      </c>
      <c r="E197" t="s">
        <v>22</v>
      </c>
      <c r="F197">
        <v>1292</v>
      </c>
      <c r="G197">
        <v>626</v>
      </c>
      <c r="H197">
        <v>496</v>
      </c>
      <c r="I197">
        <v>25840</v>
      </c>
      <c r="J197">
        <v>24916</v>
      </c>
      <c r="K197">
        <v>149</v>
      </c>
      <c r="L197" t="s">
        <v>17</v>
      </c>
      <c r="M197" t="s">
        <v>29</v>
      </c>
      <c r="N197">
        <f>(Posts[[#This Row],[Likes]]+Posts[[#This Row],[Shares]]+Posts[[#This Row],[Comments]])/Posts[[#This Row],[Impressions]]</f>
        <v>9.3421052631578946E-2</v>
      </c>
    </row>
    <row r="198" spans="1:14" x14ac:dyDescent="0.2">
      <c r="A198" t="s">
        <v>113</v>
      </c>
      <c r="B198" t="s">
        <v>31</v>
      </c>
      <c r="C198" s="1">
        <v>45465</v>
      </c>
      <c r="D198" t="s">
        <v>21</v>
      </c>
      <c r="E198" t="s">
        <v>81</v>
      </c>
      <c r="F198">
        <v>2180</v>
      </c>
      <c r="G198">
        <v>263</v>
      </c>
      <c r="H198">
        <v>387</v>
      </c>
      <c r="I198">
        <v>30520</v>
      </c>
      <c r="J198">
        <v>30059</v>
      </c>
      <c r="K198">
        <v>174</v>
      </c>
      <c r="L198" t="s">
        <v>34</v>
      </c>
      <c r="M198" t="s">
        <v>57</v>
      </c>
      <c r="N198">
        <f>(Posts[[#This Row],[Likes]]+Posts[[#This Row],[Shares]]+Posts[[#This Row],[Comments]])/Posts[[#This Row],[Impressions]]</f>
        <v>9.2726081258191345E-2</v>
      </c>
    </row>
    <row r="199" spans="1:14" x14ac:dyDescent="0.2">
      <c r="A199" t="s">
        <v>156</v>
      </c>
      <c r="B199" t="s">
        <v>27</v>
      </c>
      <c r="C199" s="1">
        <v>45698</v>
      </c>
      <c r="D199" t="s">
        <v>59</v>
      </c>
      <c r="E199" t="s">
        <v>139</v>
      </c>
      <c r="F199">
        <v>1766</v>
      </c>
      <c r="G199">
        <v>92</v>
      </c>
      <c r="H199">
        <v>424</v>
      </c>
      <c r="I199">
        <v>24724</v>
      </c>
      <c r="J199">
        <v>24333</v>
      </c>
      <c r="K199">
        <v>52</v>
      </c>
      <c r="L199" t="s">
        <v>34</v>
      </c>
      <c r="M199" t="s">
        <v>57</v>
      </c>
      <c r="N199">
        <f>(Posts[[#This Row],[Likes]]+Posts[[#This Row],[Shares]]+Posts[[#This Row],[Comments]])/Posts[[#This Row],[Impressions]]</f>
        <v>9.2298980747451867E-2</v>
      </c>
    </row>
    <row r="200" spans="1:14" x14ac:dyDescent="0.2">
      <c r="A200" t="s">
        <v>109</v>
      </c>
      <c r="B200" t="s">
        <v>38</v>
      </c>
      <c r="C200" s="1">
        <v>45460</v>
      </c>
      <c r="D200" t="s">
        <v>44</v>
      </c>
      <c r="E200" t="s">
        <v>49</v>
      </c>
      <c r="F200">
        <v>1226</v>
      </c>
      <c r="G200">
        <v>119</v>
      </c>
      <c r="H200">
        <v>7</v>
      </c>
      <c r="I200">
        <v>14712</v>
      </c>
      <c r="J200">
        <v>14049</v>
      </c>
      <c r="K200">
        <v>123</v>
      </c>
      <c r="L200" t="s">
        <v>34</v>
      </c>
      <c r="M200" t="s">
        <v>35</v>
      </c>
      <c r="N200">
        <f>(Posts[[#This Row],[Likes]]+Posts[[#This Row],[Shares]]+Posts[[#This Row],[Comments]])/Posts[[#This Row],[Impressions]]</f>
        <v>9.1897770527460579E-2</v>
      </c>
    </row>
    <row r="201" spans="1:14" x14ac:dyDescent="0.2">
      <c r="A201" t="s">
        <v>234</v>
      </c>
      <c r="B201" t="s">
        <v>31</v>
      </c>
      <c r="C201" s="1">
        <v>45483</v>
      </c>
      <c r="D201" t="s">
        <v>39</v>
      </c>
      <c r="E201" t="s">
        <v>68</v>
      </c>
      <c r="F201">
        <v>3099</v>
      </c>
      <c r="G201">
        <v>694</v>
      </c>
      <c r="H201">
        <v>171</v>
      </c>
      <c r="I201">
        <v>43386</v>
      </c>
      <c r="J201">
        <v>42921</v>
      </c>
      <c r="K201">
        <v>52</v>
      </c>
      <c r="L201" t="s">
        <v>23</v>
      </c>
      <c r="M201" t="s">
        <v>29</v>
      </c>
      <c r="N201">
        <f>(Posts[[#This Row],[Likes]]+Posts[[#This Row],[Shares]]+Posts[[#This Row],[Comments]])/Posts[[#This Row],[Impressions]]</f>
        <v>9.1365878393951966E-2</v>
      </c>
    </row>
    <row r="202" spans="1:14" x14ac:dyDescent="0.2">
      <c r="A202" t="s">
        <v>217</v>
      </c>
      <c r="B202" t="s">
        <v>14</v>
      </c>
      <c r="C202" s="1">
        <v>45528</v>
      </c>
      <c r="D202" t="s">
        <v>59</v>
      </c>
      <c r="E202" t="s">
        <v>98</v>
      </c>
      <c r="F202">
        <v>1082</v>
      </c>
      <c r="G202">
        <v>209</v>
      </c>
      <c r="H202">
        <v>484</v>
      </c>
      <c r="I202">
        <v>19476</v>
      </c>
      <c r="J202">
        <v>18654</v>
      </c>
      <c r="K202">
        <v>20</v>
      </c>
      <c r="L202" t="s">
        <v>23</v>
      </c>
      <c r="M202" t="s">
        <v>57</v>
      </c>
      <c r="N202">
        <f>(Posts[[#This Row],[Likes]]+Posts[[#This Row],[Shares]]+Posts[[#This Row],[Comments]])/Posts[[#This Row],[Impressions]]</f>
        <v>9.1137810638734856E-2</v>
      </c>
    </row>
    <row r="203" spans="1:14" x14ac:dyDescent="0.2">
      <c r="A203" t="s">
        <v>13</v>
      </c>
      <c r="B203" t="s">
        <v>14</v>
      </c>
      <c r="C203" s="1">
        <v>45649</v>
      </c>
      <c r="D203" t="s">
        <v>15</v>
      </c>
      <c r="E203" t="s">
        <v>16</v>
      </c>
      <c r="F203">
        <v>1461</v>
      </c>
      <c r="G203">
        <v>184</v>
      </c>
      <c r="H203">
        <v>344</v>
      </c>
      <c r="I203">
        <v>21915</v>
      </c>
      <c r="J203">
        <v>21675</v>
      </c>
      <c r="K203">
        <v>15</v>
      </c>
      <c r="L203" t="s">
        <v>17</v>
      </c>
      <c r="M203" t="s">
        <v>18</v>
      </c>
      <c r="N203">
        <f>(Posts[[#This Row],[Likes]]+Posts[[#This Row],[Shares]]+Posts[[#This Row],[Comments]])/Posts[[#This Row],[Impressions]]</f>
        <v>9.0759753593429152E-2</v>
      </c>
    </row>
    <row r="204" spans="1:14" x14ac:dyDescent="0.2">
      <c r="A204" t="s">
        <v>13</v>
      </c>
      <c r="B204" t="s">
        <v>14</v>
      </c>
      <c r="C204" s="1">
        <v>45649</v>
      </c>
      <c r="D204" t="s">
        <v>15</v>
      </c>
      <c r="E204" t="s">
        <v>16</v>
      </c>
      <c r="F204">
        <v>1461</v>
      </c>
      <c r="G204">
        <v>184</v>
      </c>
      <c r="H204">
        <v>344</v>
      </c>
      <c r="I204">
        <v>21915</v>
      </c>
      <c r="J204">
        <v>21675</v>
      </c>
      <c r="K204">
        <v>15</v>
      </c>
      <c r="L204" t="s">
        <v>19</v>
      </c>
      <c r="M204" t="s">
        <v>18</v>
      </c>
      <c r="N204">
        <f>(Posts[[#This Row],[Likes]]+Posts[[#This Row],[Shares]]+Posts[[#This Row],[Comments]])/Posts[[#This Row],[Impressions]]</f>
        <v>9.0759753593429152E-2</v>
      </c>
    </row>
    <row r="205" spans="1:14" x14ac:dyDescent="0.2">
      <c r="A205" t="s">
        <v>258</v>
      </c>
      <c r="B205" t="s">
        <v>14</v>
      </c>
      <c r="C205" s="1">
        <v>45672</v>
      </c>
      <c r="D205" t="s">
        <v>15</v>
      </c>
      <c r="E205" t="s">
        <v>16</v>
      </c>
      <c r="F205">
        <v>802</v>
      </c>
      <c r="G205">
        <v>262</v>
      </c>
      <c r="H205">
        <v>244</v>
      </c>
      <c r="I205">
        <v>14436</v>
      </c>
      <c r="J205">
        <v>14280</v>
      </c>
      <c r="K205">
        <v>49</v>
      </c>
      <c r="L205" t="s">
        <v>34</v>
      </c>
      <c r="M205" t="s">
        <v>18</v>
      </c>
      <c r="N205">
        <f>(Posts[[#This Row],[Likes]]+Posts[[#This Row],[Shares]]+Posts[[#This Row],[Comments]])/Posts[[#This Row],[Impressions]]</f>
        <v>9.0606816292601824E-2</v>
      </c>
    </row>
    <row r="206" spans="1:14" x14ac:dyDescent="0.2">
      <c r="A206" t="s">
        <v>237</v>
      </c>
      <c r="B206" t="s">
        <v>27</v>
      </c>
      <c r="C206" s="1">
        <v>45629</v>
      </c>
      <c r="D206" t="s">
        <v>21</v>
      </c>
      <c r="E206" t="s">
        <v>76</v>
      </c>
      <c r="F206">
        <v>3711</v>
      </c>
      <c r="G206">
        <v>352</v>
      </c>
      <c r="H206">
        <v>290</v>
      </c>
      <c r="I206">
        <v>48243</v>
      </c>
      <c r="J206">
        <v>47579</v>
      </c>
      <c r="K206">
        <v>11</v>
      </c>
      <c r="L206" t="s">
        <v>23</v>
      </c>
      <c r="M206" t="s">
        <v>18</v>
      </c>
      <c r="N206">
        <f>(Posts[[#This Row],[Likes]]+Posts[[#This Row],[Shares]]+Posts[[#This Row],[Comments]])/Posts[[#This Row],[Impressions]]</f>
        <v>9.023070704558174E-2</v>
      </c>
    </row>
    <row r="207" spans="1:14" x14ac:dyDescent="0.2">
      <c r="A207" t="s">
        <v>74</v>
      </c>
      <c r="B207" t="s">
        <v>27</v>
      </c>
      <c r="C207" s="1">
        <v>45752</v>
      </c>
      <c r="D207" t="s">
        <v>15</v>
      </c>
      <c r="E207" t="s">
        <v>28</v>
      </c>
      <c r="F207">
        <v>3009</v>
      </c>
      <c r="G207">
        <v>413</v>
      </c>
      <c r="H207">
        <v>358</v>
      </c>
      <c r="I207">
        <v>42126</v>
      </c>
      <c r="J207">
        <v>41309</v>
      </c>
      <c r="K207">
        <v>211</v>
      </c>
      <c r="L207" t="s">
        <v>17</v>
      </c>
      <c r="M207" t="s">
        <v>24</v>
      </c>
      <c r="N207">
        <f>(Posts[[#This Row],[Likes]]+Posts[[#This Row],[Shares]]+Posts[[#This Row],[Comments]])/Posts[[#This Row],[Impressions]]</f>
        <v>8.9730807577268201E-2</v>
      </c>
    </row>
    <row r="208" spans="1:14" x14ac:dyDescent="0.2">
      <c r="A208" t="s">
        <v>186</v>
      </c>
      <c r="B208" t="s">
        <v>27</v>
      </c>
      <c r="C208" s="1">
        <v>45564</v>
      </c>
      <c r="D208" t="s">
        <v>15</v>
      </c>
      <c r="E208" t="s">
        <v>28</v>
      </c>
      <c r="F208">
        <v>2936</v>
      </c>
      <c r="G208">
        <v>439</v>
      </c>
      <c r="H208">
        <v>44</v>
      </c>
      <c r="I208">
        <v>38168</v>
      </c>
      <c r="J208">
        <v>37571</v>
      </c>
      <c r="K208">
        <v>22</v>
      </c>
      <c r="L208" t="s">
        <v>34</v>
      </c>
      <c r="M208" t="s">
        <v>35</v>
      </c>
      <c r="N208">
        <f>(Posts[[#This Row],[Likes]]+Posts[[#This Row],[Shares]]+Posts[[#This Row],[Comments]])/Posts[[#This Row],[Impressions]]</f>
        <v>8.9577656675749323E-2</v>
      </c>
    </row>
    <row r="209" spans="1:14" x14ac:dyDescent="0.2">
      <c r="A209" t="s">
        <v>133</v>
      </c>
      <c r="B209" t="s">
        <v>31</v>
      </c>
      <c r="C209" s="1">
        <v>45574</v>
      </c>
      <c r="D209" t="s">
        <v>39</v>
      </c>
      <c r="E209" t="s">
        <v>68</v>
      </c>
      <c r="F209">
        <v>3068</v>
      </c>
      <c r="G209">
        <v>137</v>
      </c>
      <c r="H209">
        <v>329</v>
      </c>
      <c r="I209">
        <v>39884</v>
      </c>
      <c r="J209">
        <v>39404</v>
      </c>
      <c r="K209">
        <v>266</v>
      </c>
      <c r="L209" t="s">
        <v>34</v>
      </c>
      <c r="M209" t="s">
        <v>24</v>
      </c>
      <c r="N209">
        <f>(Posts[[#This Row],[Likes]]+Posts[[#This Row],[Shares]]+Posts[[#This Row],[Comments]])/Posts[[#This Row],[Impressions]]</f>
        <v>8.860696018453515E-2</v>
      </c>
    </row>
    <row r="210" spans="1:14" x14ac:dyDescent="0.2">
      <c r="A210" t="s">
        <v>126</v>
      </c>
      <c r="B210" t="s">
        <v>27</v>
      </c>
      <c r="C210" s="1">
        <v>45719</v>
      </c>
      <c r="D210" t="s">
        <v>15</v>
      </c>
      <c r="E210" t="s">
        <v>28</v>
      </c>
      <c r="F210">
        <v>296</v>
      </c>
      <c r="G210">
        <v>60</v>
      </c>
      <c r="H210">
        <v>141</v>
      </c>
      <c r="I210">
        <v>5624</v>
      </c>
      <c r="J210">
        <v>5239</v>
      </c>
      <c r="K210">
        <v>88</v>
      </c>
      <c r="L210" t="s">
        <v>34</v>
      </c>
      <c r="M210" t="s">
        <v>24</v>
      </c>
      <c r="N210">
        <f>(Posts[[#This Row],[Likes]]+Posts[[#This Row],[Shares]]+Posts[[#This Row],[Comments]])/Posts[[#This Row],[Impressions]]</f>
        <v>8.837126600284495E-2</v>
      </c>
    </row>
    <row r="211" spans="1:14" x14ac:dyDescent="0.2">
      <c r="A211" t="s">
        <v>46</v>
      </c>
      <c r="B211" t="s">
        <v>38</v>
      </c>
      <c r="C211" s="1">
        <v>45534</v>
      </c>
      <c r="D211" t="s">
        <v>21</v>
      </c>
      <c r="E211" t="s">
        <v>47</v>
      </c>
      <c r="F211">
        <v>3784</v>
      </c>
      <c r="G211">
        <v>808</v>
      </c>
      <c r="H211">
        <v>404</v>
      </c>
      <c r="I211">
        <v>56760</v>
      </c>
      <c r="J211">
        <v>56343</v>
      </c>
      <c r="K211">
        <v>131</v>
      </c>
      <c r="L211" t="s">
        <v>23</v>
      </c>
      <c r="M211" t="s">
        <v>24</v>
      </c>
      <c r="N211">
        <f>(Posts[[#This Row],[Likes]]+Posts[[#This Row],[Shares]]+Posts[[#This Row],[Comments]])/Posts[[#This Row],[Impressions]]</f>
        <v>8.8019732205778717E-2</v>
      </c>
    </row>
    <row r="212" spans="1:14" x14ac:dyDescent="0.2">
      <c r="A212" t="s">
        <v>317</v>
      </c>
      <c r="B212" t="s">
        <v>31</v>
      </c>
      <c r="C212" s="1">
        <v>45700</v>
      </c>
      <c r="D212" t="s">
        <v>32</v>
      </c>
      <c r="E212" t="s">
        <v>33</v>
      </c>
      <c r="F212">
        <v>4332</v>
      </c>
      <c r="G212">
        <v>771</v>
      </c>
      <c r="H212">
        <v>219</v>
      </c>
      <c r="I212">
        <v>60648</v>
      </c>
      <c r="J212">
        <v>60397</v>
      </c>
      <c r="K212">
        <v>10</v>
      </c>
      <c r="L212" t="s">
        <v>23</v>
      </c>
      <c r="M212" t="s">
        <v>29</v>
      </c>
      <c r="N212">
        <f>(Posts[[#This Row],[Likes]]+Posts[[#This Row],[Shares]]+Posts[[#This Row],[Comments]])/Posts[[#This Row],[Impressions]]</f>
        <v>8.7752275425405618E-2</v>
      </c>
    </row>
    <row r="213" spans="1:14" x14ac:dyDescent="0.2">
      <c r="A213" t="s">
        <v>317</v>
      </c>
      <c r="B213" t="s">
        <v>31</v>
      </c>
      <c r="C213" s="1">
        <v>45700</v>
      </c>
      <c r="D213" t="s">
        <v>32</v>
      </c>
      <c r="E213" t="s">
        <v>33</v>
      </c>
      <c r="F213">
        <v>4332</v>
      </c>
      <c r="G213">
        <v>771</v>
      </c>
      <c r="H213">
        <v>219</v>
      </c>
      <c r="I213">
        <v>60648</v>
      </c>
      <c r="J213">
        <v>60397</v>
      </c>
      <c r="K213">
        <v>10</v>
      </c>
      <c r="L213" t="s">
        <v>34</v>
      </c>
      <c r="M213" t="s">
        <v>29</v>
      </c>
      <c r="N213">
        <f>(Posts[[#This Row],[Likes]]+Posts[[#This Row],[Shares]]+Posts[[#This Row],[Comments]])/Posts[[#This Row],[Impressions]]</f>
        <v>8.7752275425405618E-2</v>
      </c>
    </row>
    <row r="214" spans="1:14" x14ac:dyDescent="0.2">
      <c r="A214" t="s">
        <v>317</v>
      </c>
      <c r="B214" t="s">
        <v>31</v>
      </c>
      <c r="C214" s="1">
        <v>45700</v>
      </c>
      <c r="D214" t="s">
        <v>32</v>
      </c>
      <c r="E214" t="s">
        <v>33</v>
      </c>
      <c r="F214">
        <v>4332</v>
      </c>
      <c r="G214">
        <v>771</v>
      </c>
      <c r="H214">
        <v>219</v>
      </c>
      <c r="I214">
        <v>60648</v>
      </c>
      <c r="J214">
        <v>60397</v>
      </c>
      <c r="K214">
        <v>10</v>
      </c>
      <c r="L214" t="s">
        <v>25</v>
      </c>
      <c r="M214" t="s">
        <v>29</v>
      </c>
      <c r="N214">
        <f>(Posts[[#This Row],[Likes]]+Posts[[#This Row],[Shares]]+Posts[[#This Row],[Comments]])/Posts[[#This Row],[Impressions]]</f>
        <v>8.7752275425405618E-2</v>
      </c>
    </row>
    <row r="215" spans="1:14" x14ac:dyDescent="0.2">
      <c r="A215" t="s">
        <v>306</v>
      </c>
      <c r="B215" t="s">
        <v>14</v>
      </c>
      <c r="C215" s="1">
        <v>45491</v>
      </c>
      <c r="D215" t="s">
        <v>44</v>
      </c>
      <c r="E215" t="s">
        <v>91</v>
      </c>
      <c r="F215">
        <v>827</v>
      </c>
      <c r="G215">
        <v>77</v>
      </c>
      <c r="H215">
        <v>402</v>
      </c>
      <c r="I215">
        <v>14886</v>
      </c>
      <c r="J215">
        <v>14129</v>
      </c>
      <c r="K215">
        <v>254</v>
      </c>
      <c r="L215" t="s">
        <v>34</v>
      </c>
      <c r="M215" t="s">
        <v>24</v>
      </c>
      <c r="N215">
        <f>(Posts[[#This Row],[Likes]]+Posts[[#This Row],[Shares]]+Posts[[#This Row],[Comments]])/Posts[[#This Row],[Impressions]]</f>
        <v>8.7733440816874911E-2</v>
      </c>
    </row>
    <row r="216" spans="1:14" x14ac:dyDescent="0.2">
      <c r="A216" t="s">
        <v>153</v>
      </c>
      <c r="B216" t="s">
        <v>31</v>
      </c>
      <c r="C216" s="1">
        <v>45517</v>
      </c>
      <c r="D216" t="s">
        <v>44</v>
      </c>
      <c r="E216" t="s">
        <v>137</v>
      </c>
      <c r="F216">
        <v>4739</v>
      </c>
      <c r="G216">
        <v>527</v>
      </c>
      <c r="H216">
        <v>135</v>
      </c>
      <c r="I216">
        <v>61607</v>
      </c>
      <c r="J216">
        <v>61333</v>
      </c>
      <c r="K216">
        <v>36</v>
      </c>
      <c r="L216" t="s">
        <v>23</v>
      </c>
      <c r="M216" t="s">
        <v>24</v>
      </c>
      <c r="N216">
        <f>(Posts[[#This Row],[Likes]]+Posts[[#This Row],[Shares]]+Posts[[#This Row],[Comments]])/Posts[[#This Row],[Impressions]]</f>
        <v>8.7668609086629767E-2</v>
      </c>
    </row>
    <row r="217" spans="1:14" x14ac:dyDescent="0.2">
      <c r="A217" t="s">
        <v>153</v>
      </c>
      <c r="B217" t="s">
        <v>31</v>
      </c>
      <c r="C217" s="1">
        <v>45517</v>
      </c>
      <c r="D217" t="s">
        <v>44</v>
      </c>
      <c r="E217" t="s">
        <v>137</v>
      </c>
      <c r="F217">
        <v>4739</v>
      </c>
      <c r="G217">
        <v>527</v>
      </c>
      <c r="H217">
        <v>135</v>
      </c>
      <c r="I217">
        <v>61607</v>
      </c>
      <c r="J217">
        <v>61333</v>
      </c>
      <c r="K217">
        <v>36</v>
      </c>
      <c r="L217" t="s">
        <v>19</v>
      </c>
      <c r="M217" t="s">
        <v>24</v>
      </c>
      <c r="N217">
        <f>(Posts[[#This Row],[Likes]]+Posts[[#This Row],[Shares]]+Posts[[#This Row],[Comments]])/Posts[[#This Row],[Impressions]]</f>
        <v>8.7668609086629767E-2</v>
      </c>
    </row>
    <row r="218" spans="1:14" x14ac:dyDescent="0.2">
      <c r="A218" t="s">
        <v>310</v>
      </c>
      <c r="B218" t="s">
        <v>14</v>
      </c>
      <c r="C218" s="1">
        <v>45507</v>
      </c>
      <c r="D218" t="s">
        <v>15</v>
      </c>
      <c r="E218" t="s">
        <v>16</v>
      </c>
      <c r="F218">
        <v>3791</v>
      </c>
      <c r="G218">
        <v>593</v>
      </c>
      <c r="H218">
        <v>228</v>
      </c>
      <c r="I218">
        <v>53074</v>
      </c>
      <c r="J218">
        <v>52613</v>
      </c>
      <c r="K218">
        <v>205</v>
      </c>
      <c r="L218" t="s">
        <v>34</v>
      </c>
      <c r="M218" t="s">
        <v>57</v>
      </c>
      <c r="N218">
        <f>(Posts[[#This Row],[Likes]]+Posts[[#This Row],[Shares]]+Posts[[#This Row],[Comments]])/Posts[[#This Row],[Impressions]]</f>
        <v>8.6897539284772202E-2</v>
      </c>
    </row>
    <row r="219" spans="1:14" x14ac:dyDescent="0.2">
      <c r="A219" t="s">
        <v>140</v>
      </c>
      <c r="B219" t="s">
        <v>38</v>
      </c>
      <c r="C219" s="1">
        <v>45635</v>
      </c>
      <c r="D219" t="s">
        <v>44</v>
      </c>
      <c r="E219" t="s">
        <v>49</v>
      </c>
      <c r="F219">
        <v>1841</v>
      </c>
      <c r="G219">
        <v>851</v>
      </c>
      <c r="H219">
        <v>342</v>
      </c>
      <c r="I219">
        <v>34979</v>
      </c>
      <c r="J219">
        <v>34154</v>
      </c>
      <c r="K219">
        <v>255</v>
      </c>
      <c r="L219" t="s">
        <v>17</v>
      </c>
      <c r="M219" t="s">
        <v>35</v>
      </c>
      <c r="N219">
        <f>(Posts[[#This Row],[Likes]]+Posts[[#This Row],[Shares]]+Posts[[#This Row],[Comments]])/Posts[[#This Row],[Impressions]]</f>
        <v>8.6737756939878216E-2</v>
      </c>
    </row>
    <row r="220" spans="1:14" x14ac:dyDescent="0.2">
      <c r="A220" t="s">
        <v>219</v>
      </c>
      <c r="B220" t="s">
        <v>38</v>
      </c>
      <c r="C220" s="1">
        <v>45748</v>
      </c>
      <c r="D220" t="s">
        <v>32</v>
      </c>
      <c r="E220" t="s">
        <v>56</v>
      </c>
      <c r="F220">
        <v>3430</v>
      </c>
      <c r="G220">
        <v>566</v>
      </c>
      <c r="H220">
        <v>164</v>
      </c>
      <c r="I220">
        <v>48020</v>
      </c>
      <c r="J220">
        <v>47305</v>
      </c>
      <c r="K220">
        <v>120</v>
      </c>
      <c r="L220" t="s">
        <v>17</v>
      </c>
      <c r="M220" t="s">
        <v>57</v>
      </c>
      <c r="N220">
        <f>(Posts[[#This Row],[Likes]]+Posts[[#This Row],[Shares]]+Posts[[#This Row],[Comments]])/Posts[[#This Row],[Impressions]]</f>
        <v>8.6630570595585168E-2</v>
      </c>
    </row>
    <row r="221" spans="1:14" x14ac:dyDescent="0.2">
      <c r="A221" t="s">
        <v>265</v>
      </c>
      <c r="B221" t="s">
        <v>27</v>
      </c>
      <c r="C221" s="1">
        <v>45467</v>
      </c>
      <c r="D221" t="s">
        <v>59</v>
      </c>
      <c r="E221" t="s">
        <v>139</v>
      </c>
      <c r="F221">
        <v>2949</v>
      </c>
      <c r="G221">
        <v>476</v>
      </c>
      <c r="H221">
        <v>403</v>
      </c>
      <c r="I221">
        <v>44235</v>
      </c>
      <c r="J221">
        <v>43705</v>
      </c>
      <c r="K221">
        <v>135</v>
      </c>
      <c r="L221" t="s">
        <v>23</v>
      </c>
      <c r="M221" t="s">
        <v>24</v>
      </c>
      <c r="N221">
        <f>(Posts[[#This Row],[Likes]]+Posts[[#This Row],[Shares]]+Posts[[#This Row],[Comments]])/Posts[[#This Row],[Impressions]]</f>
        <v>8.6537809426924378E-2</v>
      </c>
    </row>
    <row r="222" spans="1:14" x14ac:dyDescent="0.2">
      <c r="A222" t="s">
        <v>297</v>
      </c>
      <c r="B222" t="s">
        <v>14</v>
      </c>
      <c r="C222" s="1">
        <v>45530</v>
      </c>
      <c r="D222" t="s">
        <v>39</v>
      </c>
      <c r="E222" t="s">
        <v>42</v>
      </c>
      <c r="F222">
        <v>929</v>
      </c>
      <c r="G222">
        <v>192</v>
      </c>
      <c r="H222">
        <v>322</v>
      </c>
      <c r="I222">
        <v>16722</v>
      </c>
      <c r="J222">
        <v>15996</v>
      </c>
      <c r="K222">
        <v>145</v>
      </c>
      <c r="L222" t="s">
        <v>34</v>
      </c>
      <c r="M222" t="s">
        <v>29</v>
      </c>
      <c r="N222">
        <f>(Posts[[#This Row],[Likes]]+Posts[[#This Row],[Shares]]+Posts[[#This Row],[Comments]])/Posts[[#This Row],[Impressions]]</f>
        <v>8.6293505561535699E-2</v>
      </c>
    </row>
    <row r="223" spans="1:14" x14ac:dyDescent="0.2">
      <c r="A223" t="s">
        <v>297</v>
      </c>
      <c r="B223" t="s">
        <v>14</v>
      </c>
      <c r="C223" s="1">
        <v>45530</v>
      </c>
      <c r="D223" t="s">
        <v>39</v>
      </c>
      <c r="E223" t="s">
        <v>42</v>
      </c>
      <c r="F223">
        <v>929</v>
      </c>
      <c r="G223">
        <v>192</v>
      </c>
      <c r="H223">
        <v>322</v>
      </c>
      <c r="I223">
        <v>16722</v>
      </c>
      <c r="J223">
        <v>15996</v>
      </c>
      <c r="K223">
        <v>145</v>
      </c>
      <c r="L223" t="s">
        <v>23</v>
      </c>
      <c r="M223" t="s">
        <v>29</v>
      </c>
      <c r="N223">
        <f>(Posts[[#This Row],[Likes]]+Posts[[#This Row],[Shares]]+Posts[[#This Row],[Comments]])/Posts[[#This Row],[Impressions]]</f>
        <v>8.6293505561535699E-2</v>
      </c>
    </row>
    <row r="224" spans="1:14" x14ac:dyDescent="0.2">
      <c r="A224" t="s">
        <v>297</v>
      </c>
      <c r="B224" t="s">
        <v>14</v>
      </c>
      <c r="C224" s="1">
        <v>45530</v>
      </c>
      <c r="D224" t="s">
        <v>39</v>
      </c>
      <c r="E224" t="s">
        <v>42</v>
      </c>
      <c r="F224">
        <v>929</v>
      </c>
      <c r="G224">
        <v>192</v>
      </c>
      <c r="H224">
        <v>322</v>
      </c>
      <c r="I224">
        <v>16722</v>
      </c>
      <c r="J224">
        <v>15996</v>
      </c>
      <c r="K224">
        <v>145</v>
      </c>
      <c r="L224" t="s">
        <v>19</v>
      </c>
      <c r="M224" t="s">
        <v>29</v>
      </c>
      <c r="N224">
        <f>(Posts[[#This Row],[Likes]]+Posts[[#This Row],[Shares]]+Posts[[#This Row],[Comments]])/Posts[[#This Row],[Impressions]]</f>
        <v>8.6293505561535699E-2</v>
      </c>
    </row>
    <row r="225" spans="1:14" x14ac:dyDescent="0.2">
      <c r="A225" t="s">
        <v>288</v>
      </c>
      <c r="B225" t="s">
        <v>31</v>
      </c>
      <c r="C225" s="1">
        <v>45778</v>
      </c>
      <c r="D225" t="s">
        <v>21</v>
      </c>
      <c r="E225" t="s">
        <v>81</v>
      </c>
      <c r="F225">
        <v>1430</v>
      </c>
      <c r="G225">
        <v>376</v>
      </c>
      <c r="H225">
        <v>33</v>
      </c>
      <c r="I225">
        <v>21450</v>
      </c>
      <c r="J225">
        <v>20509</v>
      </c>
      <c r="K225">
        <v>251</v>
      </c>
      <c r="L225" t="s">
        <v>17</v>
      </c>
      <c r="M225" t="s">
        <v>18</v>
      </c>
      <c r="N225">
        <f>(Posts[[#This Row],[Likes]]+Posts[[#This Row],[Shares]]+Posts[[#This Row],[Comments]])/Posts[[#This Row],[Impressions]]</f>
        <v>8.5734265734265735E-2</v>
      </c>
    </row>
    <row r="226" spans="1:14" x14ac:dyDescent="0.2">
      <c r="A226" t="s">
        <v>162</v>
      </c>
      <c r="B226" t="s">
        <v>31</v>
      </c>
      <c r="C226" s="1">
        <v>45692</v>
      </c>
      <c r="D226" t="s">
        <v>44</v>
      </c>
      <c r="E226" t="s">
        <v>137</v>
      </c>
      <c r="F226">
        <v>4619</v>
      </c>
      <c r="G226">
        <v>821</v>
      </c>
      <c r="H226">
        <v>499</v>
      </c>
      <c r="I226">
        <v>69285</v>
      </c>
      <c r="J226">
        <v>69141</v>
      </c>
      <c r="K226">
        <v>298</v>
      </c>
      <c r="L226" t="s">
        <v>23</v>
      </c>
      <c r="M226" t="s">
        <v>35</v>
      </c>
      <c r="N226">
        <f>(Posts[[#This Row],[Likes]]+Posts[[#This Row],[Shares]]+Posts[[#This Row],[Comments]])/Posts[[#This Row],[Impressions]]</f>
        <v>8.5718409468138843E-2</v>
      </c>
    </row>
    <row r="227" spans="1:14" x14ac:dyDescent="0.2">
      <c r="A227" t="s">
        <v>136</v>
      </c>
      <c r="B227" t="s">
        <v>31</v>
      </c>
      <c r="C227" s="1">
        <v>45497</v>
      </c>
      <c r="D227" t="s">
        <v>44</v>
      </c>
      <c r="E227" t="s">
        <v>137</v>
      </c>
      <c r="F227">
        <v>725</v>
      </c>
      <c r="G227">
        <v>88</v>
      </c>
      <c r="H227">
        <v>428</v>
      </c>
      <c r="I227">
        <v>14500</v>
      </c>
      <c r="J227">
        <v>13637</v>
      </c>
      <c r="K227">
        <v>200</v>
      </c>
      <c r="L227" t="s">
        <v>17</v>
      </c>
      <c r="M227" t="s">
        <v>29</v>
      </c>
      <c r="N227">
        <f>(Posts[[#This Row],[Likes]]+Posts[[#This Row],[Shares]]+Posts[[#This Row],[Comments]])/Posts[[#This Row],[Impressions]]</f>
        <v>8.558620689655172E-2</v>
      </c>
    </row>
    <row r="228" spans="1:14" x14ac:dyDescent="0.2">
      <c r="A228" t="s">
        <v>136</v>
      </c>
      <c r="B228" t="s">
        <v>31</v>
      </c>
      <c r="C228" s="1">
        <v>45497</v>
      </c>
      <c r="D228" t="s">
        <v>44</v>
      </c>
      <c r="E228" t="s">
        <v>137</v>
      </c>
      <c r="F228">
        <v>725</v>
      </c>
      <c r="G228">
        <v>88</v>
      </c>
      <c r="H228">
        <v>428</v>
      </c>
      <c r="I228">
        <v>14500</v>
      </c>
      <c r="J228">
        <v>13637</v>
      </c>
      <c r="K228">
        <v>200</v>
      </c>
      <c r="L228" t="s">
        <v>23</v>
      </c>
      <c r="M228" t="s">
        <v>29</v>
      </c>
      <c r="N228">
        <f>(Posts[[#This Row],[Likes]]+Posts[[#This Row],[Shares]]+Posts[[#This Row],[Comments]])/Posts[[#This Row],[Impressions]]</f>
        <v>8.558620689655172E-2</v>
      </c>
    </row>
    <row r="229" spans="1:14" x14ac:dyDescent="0.2">
      <c r="A229" t="s">
        <v>136</v>
      </c>
      <c r="B229" t="s">
        <v>31</v>
      </c>
      <c r="C229" s="1">
        <v>45497</v>
      </c>
      <c r="D229" t="s">
        <v>44</v>
      </c>
      <c r="E229" t="s">
        <v>137</v>
      </c>
      <c r="F229">
        <v>725</v>
      </c>
      <c r="G229">
        <v>88</v>
      </c>
      <c r="H229">
        <v>428</v>
      </c>
      <c r="I229">
        <v>14500</v>
      </c>
      <c r="J229">
        <v>13637</v>
      </c>
      <c r="K229">
        <v>200</v>
      </c>
      <c r="L229" t="s">
        <v>19</v>
      </c>
      <c r="M229" t="s">
        <v>29</v>
      </c>
      <c r="N229">
        <f>(Posts[[#This Row],[Likes]]+Posts[[#This Row],[Shares]]+Posts[[#This Row],[Comments]])/Posts[[#This Row],[Impressions]]</f>
        <v>8.558620689655172E-2</v>
      </c>
    </row>
    <row r="230" spans="1:14" x14ac:dyDescent="0.2">
      <c r="A230" t="s">
        <v>256</v>
      </c>
      <c r="B230" t="s">
        <v>27</v>
      </c>
      <c r="C230" s="1">
        <v>45626</v>
      </c>
      <c r="D230" t="s">
        <v>39</v>
      </c>
      <c r="E230" t="s">
        <v>54</v>
      </c>
      <c r="F230">
        <v>2509</v>
      </c>
      <c r="G230">
        <v>324</v>
      </c>
      <c r="H230">
        <v>171</v>
      </c>
      <c r="I230">
        <v>35126</v>
      </c>
      <c r="J230">
        <v>34685</v>
      </c>
      <c r="K230">
        <v>277</v>
      </c>
      <c r="L230" t="s">
        <v>23</v>
      </c>
      <c r="M230" t="s">
        <v>24</v>
      </c>
      <c r="N230">
        <f>(Posts[[#This Row],[Likes]]+Posts[[#This Row],[Shares]]+Posts[[#This Row],[Comments]])/Posts[[#This Row],[Impressions]]</f>
        <v>8.5520696919660646E-2</v>
      </c>
    </row>
    <row r="231" spans="1:14" x14ac:dyDescent="0.2">
      <c r="A231" t="s">
        <v>245</v>
      </c>
      <c r="B231" t="s">
        <v>27</v>
      </c>
      <c r="C231" s="1">
        <v>45449</v>
      </c>
      <c r="D231" t="s">
        <v>15</v>
      </c>
      <c r="E231" t="s">
        <v>28</v>
      </c>
      <c r="F231">
        <v>2728</v>
      </c>
      <c r="G231">
        <v>533</v>
      </c>
      <c r="H231">
        <v>215</v>
      </c>
      <c r="I231">
        <v>40920</v>
      </c>
      <c r="J231">
        <v>40816</v>
      </c>
      <c r="K231">
        <v>137</v>
      </c>
      <c r="L231" t="s">
        <v>17</v>
      </c>
      <c r="M231" t="s">
        <v>24</v>
      </c>
      <c r="N231">
        <f>(Posts[[#This Row],[Likes]]+Posts[[#This Row],[Shares]]+Posts[[#This Row],[Comments]])/Posts[[#This Row],[Impressions]]</f>
        <v>8.4946236559139784E-2</v>
      </c>
    </row>
    <row r="232" spans="1:14" x14ac:dyDescent="0.2">
      <c r="A232" t="s">
        <v>243</v>
      </c>
      <c r="B232" t="s">
        <v>38</v>
      </c>
      <c r="C232" s="1">
        <v>45528</v>
      </c>
      <c r="D232" t="s">
        <v>39</v>
      </c>
      <c r="E232" t="s">
        <v>40</v>
      </c>
      <c r="F232">
        <v>4292</v>
      </c>
      <c r="G232">
        <v>51</v>
      </c>
      <c r="H232">
        <v>392</v>
      </c>
      <c r="I232">
        <v>55796</v>
      </c>
      <c r="J232">
        <v>54826</v>
      </c>
      <c r="K232">
        <v>264</v>
      </c>
      <c r="L232" t="s">
        <v>34</v>
      </c>
      <c r="M232" t="s">
        <v>29</v>
      </c>
      <c r="N232">
        <f>(Posts[[#This Row],[Likes]]+Posts[[#This Row],[Shares]]+Posts[[#This Row],[Comments]])/Posts[[#This Row],[Impressions]]</f>
        <v>8.4862714173059003E-2</v>
      </c>
    </row>
    <row r="233" spans="1:14" x14ac:dyDescent="0.2">
      <c r="A233" t="s">
        <v>251</v>
      </c>
      <c r="B233" t="s">
        <v>27</v>
      </c>
      <c r="C233" s="1">
        <v>45567</v>
      </c>
      <c r="D233" t="s">
        <v>32</v>
      </c>
      <c r="E233" t="s">
        <v>104</v>
      </c>
      <c r="F233">
        <v>4350</v>
      </c>
      <c r="G233">
        <v>771</v>
      </c>
      <c r="H233">
        <v>7</v>
      </c>
      <c r="I233">
        <v>60900</v>
      </c>
      <c r="J233">
        <v>60592</v>
      </c>
      <c r="K233">
        <v>195</v>
      </c>
      <c r="L233" t="s">
        <v>34</v>
      </c>
      <c r="M233" t="s">
        <v>18</v>
      </c>
      <c r="N233">
        <f>(Posts[[#This Row],[Likes]]+Posts[[#This Row],[Shares]]+Posts[[#This Row],[Comments]])/Posts[[#This Row],[Impressions]]</f>
        <v>8.4203612479474554E-2</v>
      </c>
    </row>
    <row r="234" spans="1:14" x14ac:dyDescent="0.2">
      <c r="A234" t="s">
        <v>325</v>
      </c>
      <c r="B234" t="s">
        <v>31</v>
      </c>
      <c r="C234" s="1">
        <v>45760</v>
      </c>
      <c r="D234" t="s">
        <v>15</v>
      </c>
      <c r="E234" t="s">
        <v>64</v>
      </c>
      <c r="F234">
        <v>4579</v>
      </c>
      <c r="G234">
        <v>125</v>
      </c>
      <c r="H234">
        <v>300</v>
      </c>
      <c r="I234">
        <v>59527</v>
      </c>
      <c r="J234">
        <v>59400</v>
      </c>
      <c r="K234">
        <v>269</v>
      </c>
      <c r="L234" t="s">
        <v>34</v>
      </c>
      <c r="M234" t="s">
        <v>18</v>
      </c>
      <c r="N234">
        <f>(Posts[[#This Row],[Likes]]+Posts[[#This Row],[Shares]]+Posts[[#This Row],[Comments]])/Posts[[#This Row],[Impressions]]</f>
        <v>8.4062694239588759E-2</v>
      </c>
    </row>
    <row r="235" spans="1:14" x14ac:dyDescent="0.2">
      <c r="A235" t="s">
        <v>347</v>
      </c>
      <c r="B235" t="s">
        <v>31</v>
      </c>
      <c r="C235" s="1">
        <v>45646</v>
      </c>
      <c r="D235" t="s">
        <v>39</v>
      </c>
      <c r="E235" t="s">
        <v>68</v>
      </c>
      <c r="F235">
        <v>2107</v>
      </c>
      <c r="G235">
        <v>550</v>
      </c>
      <c r="H235">
        <v>349</v>
      </c>
      <c r="I235">
        <v>35819</v>
      </c>
      <c r="J235">
        <v>35340</v>
      </c>
      <c r="K235">
        <v>191</v>
      </c>
      <c r="L235" t="s">
        <v>34</v>
      </c>
      <c r="M235" t="s">
        <v>35</v>
      </c>
      <c r="N235">
        <f>(Posts[[#This Row],[Likes]]+Posts[[#This Row],[Shares]]+Posts[[#This Row],[Comments]])/Posts[[#This Row],[Impressions]]</f>
        <v>8.3921940869371006E-2</v>
      </c>
    </row>
    <row r="236" spans="1:14" x14ac:dyDescent="0.2">
      <c r="A236" t="s">
        <v>244</v>
      </c>
      <c r="B236" t="s">
        <v>14</v>
      </c>
      <c r="C236" s="1">
        <v>45648</v>
      </c>
      <c r="D236" t="s">
        <v>15</v>
      </c>
      <c r="E236" t="s">
        <v>16</v>
      </c>
      <c r="F236">
        <v>1644</v>
      </c>
      <c r="G236">
        <v>546</v>
      </c>
      <c r="H236">
        <v>150</v>
      </c>
      <c r="I236">
        <v>27948</v>
      </c>
      <c r="J236">
        <v>27184</v>
      </c>
      <c r="K236">
        <v>300</v>
      </c>
      <c r="L236" t="s">
        <v>34</v>
      </c>
      <c r="M236" t="s">
        <v>29</v>
      </c>
      <c r="N236">
        <f>(Posts[[#This Row],[Likes]]+Posts[[#This Row],[Shares]]+Posts[[#This Row],[Comments]])/Posts[[#This Row],[Impressions]]</f>
        <v>8.3726921425504502E-2</v>
      </c>
    </row>
    <row r="237" spans="1:14" x14ac:dyDescent="0.2">
      <c r="A237" t="s">
        <v>357</v>
      </c>
      <c r="B237" t="s">
        <v>14</v>
      </c>
      <c r="C237" s="1">
        <v>45535</v>
      </c>
      <c r="D237" t="s">
        <v>39</v>
      </c>
      <c r="E237" t="s">
        <v>42</v>
      </c>
      <c r="F237">
        <v>4494</v>
      </c>
      <c r="G237">
        <v>717</v>
      </c>
      <c r="H237">
        <v>45</v>
      </c>
      <c r="I237">
        <v>62916</v>
      </c>
      <c r="J237">
        <v>62688</v>
      </c>
      <c r="K237">
        <v>191</v>
      </c>
      <c r="L237" t="s">
        <v>23</v>
      </c>
      <c r="M237" t="s">
        <v>18</v>
      </c>
      <c r="N237">
        <f>(Posts[[#This Row],[Likes]]+Posts[[#This Row],[Shares]]+Posts[[#This Row],[Comments]])/Posts[[#This Row],[Impressions]]</f>
        <v>8.3539958039290485E-2</v>
      </c>
    </row>
    <row r="238" spans="1:14" x14ac:dyDescent="0.2">
      <c r="A238" t="s">
        <v>357</v>
      </c>
      <c r="B238" t="s">
        <v>14</v>
      </c>
      <c r="C238" s="1">
        <v>45535</v>
      </c>
      <c r="D238" t="s">
        <v>39</v>
      </c>
      <c r="E238" t="s">
        <v>42</v>
      </c>
      <c r="F238">
        <v>4494</v>
      </c>
      <c r="G238">
        <v>717</v>
      </c>
      <c r="H238">
        <v>45</v>
      </c>
      <c r="I238">
        <v>62916</v>
      </c>
      <c r="J238">
        <v>62688</v>
      </c>
      <c r="K238">
        <v>191</v>
      </c>
      <c r="L238" t="s">
        <v>34</v>
      </c>
      <c r="M238" t="s">
        <v>18</v>
      </c>
      <c r="N238">
        <f>(Posts[[#This Row],[Likes]]+Posts[[#This Row],[Shares]]+Posts[[#This Row],[Comments]])/Posts[[#This Row],[Impressions]]</f>
        <v>8.3539958039290485E-2</v>
      </c>
    </row>
    <row r="239" spans="1:14" x14ac:dyDescent="0.2">
      <c r="A239" t="s">
        <v>357</v>
      </c>
      <c r="B239" t="s">
        <v>14</v>
      </c>
      <c r="C239" s="1">
        <v>45535</v>
      </c>
      <c r="D239" t="s">
        <v>39</v>
      </c>
      <c r="E239" t="s">
        <v>42</v>
      </c>
      <c r="F239">
        <v>4494</v>
      </c>
      <c r="G239">
        <v>717</v>
      </c>
      <c r="H239">
        <v>45</v>
      </c>
      <c r="I239">
        <v>62916</v>
      </c>
      <c r="J239">
        <v>62688</v>
      </c>
      <c r="K239">
        <v>191</v>
      </c>
      <c r="L239" t="s">
        <v>25</v>
      </c>
      <c r="M239" t="s">
        <v>18</v>
      </c>
      <c r="N239">
        <f>(Posts[[#This Row],[Likes]]+Posts[[#This Row],[Shares]]+Posts[[#This Row],[Comments]])/Posts[[#This Row],[Impressions]]</f>
        <v>8.3539958039290485E-2</v>
      </c>
    </row>
    <row r="240" spans="1:14" x14ac:dyDescent="0.2">
      <c r="A240" t="s">
        <v>337</v>
      </c>
      <c r="B240" t="s">
        <v>27</v>
      </c>
      <c r="C240" s="1">
        <v>45586</v>
      </c>
      <c r="D240" t="s">
        <v>59</v>
      </c>
      <c r="E240" t="s">
        <v>139</v>
      </c>
      <c r="F240">
        <v>4275</v>
      </c>
      <c r="G240">
        <v>680</v>
      </c>
      <c r="H240">
        <v>385</v>
      </c>
      <c r="I240">
        <v>64125</v>
      </c>
      <c r="J240">
        <v>63650</v>
      </c>
      <c r="K240">
        <v>104</v>
      </c>
      <c r="L240" t="s">
        <v>34</v>
      </c>
      <c r="M240" t="s">
        <v>35</v>
      </c>
      <c r="N240">
        <f>(Posts[[#This Row],[Likes]]+Posts[[#This Row],[Shares]]+Posts[[#This Row],[Comments]])/Posts[[#This Row],[Impressions]]</f>
        <v>8.3274853801169585E-2</v>
      </c>
    </row>
    <row r="241" spans="1:14" x14ac:dyDescent="0.2">
      <c r="A241" t="s">
        <v>337</v>
      </c>
      <c r="B241" t="s">
        <v>27</v>
      </c>
      <c r="C241" s="1">
        <v>45586</v>
      </c>
      <c r="D241" t="s">
        <v>59</v>
      </c>
      <c r="E241" t="s">
        <v>139</v>
      </c>
      <c r="F241">
        <v>4275</v>
      </c>
      <c r="G241">
        <v>680</v>
      </c>
      <c r="H241">
        <v>385</v>
      </c>
      <c r="I241">
        <v>64125</v>
      </c>
      <c r="J241">
        <v>63650</v>
      </c>
      <c r="K241">
        <v>104</v>
      </c>
      <c r="L241" t="s">
        <v>23</v>
      </c>
      <c r="M241" t="s">
        <v>35</v>
      </c>
      <c r="N241">
        <f>(Posts[[#This Row],[Likes]]+Posts[[#This Row],[Shares]]+Posts[[#This Row],[Comments]])/Posts[[#This Row],[Impressions]]</f>
        <v>8.3274853801169585E-2</v>
      </c>
    </row>
    <row r="242" spans="1:14" x14ac:dyDescent="0.2">
      <c r="A242" t="s">
        <v>337</v>
      </c>
      <c r="B242" t="s">
        <v>27</v>
      </c>
      <c r="C242" s="1">
        <v>45586</v>
      </c>
      <c r="D242" t="s">
        <v>59</v>
      </c>
      <c r="E242" t="s">
        <v>139</v>
      </c>
      <c r="F242">
        <v>4275</v>
      </c>
      <c r="G242">
        <v>680</v>
      </c>
      <c r="H242">
        <v>385</v>
      </c>
      <c r="I242">
        <v>64125</v>
      </c>
      <c r="J242">
        <v>63650</v>
      </c>
      <c r="K242">
        <v>104</v>
      </c>
      <c r="L242" t="s">
        <v>19</v>
      </c>
      <c r="M242" t="s">
        <v>35</v>
      </c>
      <c r="N242">
        <f>(Posts[[#This Row],[Likes]]+Posts[[#This Row],[Shares]]+Posts[[#This Row],[Comments]])/Posts[[#This Row],[Impressions]]</f>
        <v>8.3274853801169585E-2</v>
      </c>
    </row>
    <row r="243" spans="1:14" x14ac:dyDescent="0.2">
      <c r="A243" t="s">
        <v>318</v>
      </c>
      <c r="B243" t="s">
        <v>31</v>
      </c>
      <c r="C243" s="1">
        <v>45592</v>
      </c>
      <c r="D243" t="s">
        <v>44</v>
      </c>
      <c r="E243" t="s">
        <v>137</v>
      </c>
      <c r="F243">
        <v>4853</v>
      </c>
      <c r="G243">
        <v>837</v>
      </c>
      <c r="H243">
        <v>340</v>
      </c>
      <c r="I243">
        <v>72795</v>
      </c>
      <c r="J243">
        <v>72237</v>
      </c>
      <c r="K243">
        <v>170</v>
      </c>
      <c r="L243" t="s">
        <v>34</v>
      </c>
      <c r="M243" t="s">
        <v>18</v>
      </c>
      <c r="N243">
        <f>(Posts[[#This Row],[Likes]]+Posts[[#This Row],[Shares]]+Posts[[#This Row],[Comments]])/Posts[[#This Row],[Impressions]]</f>
        <v>8.2835359571399134E-2</v>
      </c>
    </row>
    <row r="244" spans="1:14" x14ac:dyDescent="0.2">
      <c r="A244" t="s">
        <v>266</v>
      </c>
      <c r="B244" t="s">
        <v>14</v>
      </c>
      <c r="C244" s="1">
        <v>45735</v>
      </c>
      <c r="D244" t="s">
        <v>59</v>
      </c>
      <c r="E244" t="s">
        <v>98</v>
      </c>
      <c r="F244">
        <v>3160</v>
      </c>
      <c r="G244">
        <v>204</v>
      </c>
      <c r="H244">
        <v>297</v>
      </c>
      <c r="I244">
        <v>44240</v>
      </c>
      <c r="J244">
        <v>43666</v>
      </c>
      <c r="K244">
        <v>49</v>
      </c>
      <c r="L244" t="s">
        <v>17</v>
      </c>
      <c r="M244" t="s">
        <v>35</v>
      </c>
      <c r="N244">
        <f>(Posts[[#This Row],[Likes]]+Posts[[#This Row],[Shares]]+Posts[[#This Row],[Comments]])/Posts[[#This Row],[Impressions]]</f>
        <v>8.2753164556962022E-2</v>
      </c>
    </row>
    <row r="245" spans="1:14" x14ac:dyDescent="0.2">
      <c r="A245" t="s">
        <v>266</v>
      </c>
      <c r="B245" t="s">
        <v>14</v>
      </c>
      <c r="C245" s="1">
        <v>45735</v>
      </c>
      <c r="D245" t="s">
        <v>59</v>
      </c>
      <c r="E245" t="s">
        <v>98</v>
      </c>
      <c r="F245">
        <v>3160</v>
      </c>
      <c r="G245">
        <v>204</v>
      </c>
      <c r="H245">
        <v>297</v>
      </c>
      <c r="I245">
        <v>44240</v>
      </c>
      <c r="J245">
        <v>43666</v>
      </c>
      <c r="K245">
        <v>49</v>
      </c>
      <c r="L245" t="s">
        <v>19</v>
      </c>
      <c r="M245" t="s">
        <v>35</v>
      </c>
      <c r="N245">
        <f>(Posts[[#This Row],[Likes]]+Posts[[#This Row],[Shares]]+Posts[[#This Row],[Comments]])/Posts[[#This Row],[Impressions]]</f>
        <v>8.2753164556962022E-2</v>
      </c>
    </row>
    <row r="246" spans="1:14" x14ac:dyDescent="0.2">
      <c r="A246" t="s">
        <v>270</v>
      </c>
      <c r="B246" t="s">
        <v>38</v>
      </c>
      <c r="C246" s="1">
        <v>45778</v>
      </c>
      <c r="D246" t="s">
        <v>39</v>
      </c>
      <c r="E246" t="s">
        <v>40</v>
      </c>
      <c r="F246">
        <v>2696</v>
      </c>
      <c r="G246">
        <v>628</v>
      </c>
      <c r="H246">
        <v>443</v>
      </c>
      <c r="I246">
        <v>45832</v>
      </c>
      <c r="J246">
        <v>45632</v>
      </c>
      <c r="K246">
        <v>248</v>
      </c>
      <c r="L246" t="s">
        <v>34</v>
      </c>
      <c r="M246" t="s">
        <v>35</v>
      </c>
      <c r="N246">
        <f>(Posts[[#This Row],[Likes]]+Posts[[#This Row],[Shares]]+Posts[[#This Row],[Comments]])/Posts[[#This Row],[Impressions]]</f>
        <v>8.21914819340199E-2</v>
      </c>
    </row>
    <row r="247" spans="1:14" x14ac:dyDescent="0.2">
      <c r="A247" t="s">
        <v>259</v>
      </c>
      <c r="B247" t="s">
        <v>38</v>
      </c>
      <c r="C247" s="1">
        <v>45445</v>
      </c>
      <c r="D247" t="s">
        <v>44</v>
      </c>
      <c r="E247" t="s">
        <v>49</v>
      </c>
      <c r="F247">
        <v>1871</v>
      </c>
      <c r="G247">
        <v>252</v>
      </c>
      <c r="H247">
        <v>335</v>
      </c>
      <c r="I247">
        <v>29936</v>
      </c>
      <c r="J247">
        <v>29576</v>
      </c>
      <c r="K247">
        <v>288</v>
      </c>
      <c r="L247" t="s">
        <v>34</v>
      </c>
      <c r="M247" t="s">
        <v>29</v>
      </c>
      <c r="N247">
        <f>(Posts[[#This Row],[Likes]]+Posts[[#This Row],[Shares]]+Posts[[#This Row],[Comments]])/Posts[[#This Row],[Impressions]]</f>
        <v>8.2108498129342594E-2</v>
      </c>
    </row>
    <row r="248" spans="1:14" x14ac:dyDescent="0.2">
      <c r="A248" t="s">
        <v>132</v>
      </c>
      <c r="B248" t="s">
        <v>14</v>
      </c>
      <c r="C248" s="1">
        <v>45460</v>
      </c>
      <c r="D248" t="s">
        <v>44</v>
      </c>
      <c r="E248" t="s">
        <v>91</v>
      </c>
      <c r="F248">
        <v>954</v>
      </c>
      <c r="G248">
        <v>324</v>
      </c>
      <c r="H248">
        <v>288</v>
      </c>
      <c r="I248">
        <v>19080</v>
      </c>
      <c r="J248">
        <v>18859</v>
      </c>
      <c r="K248">
        <v>21</v>
      </c>
      <c r="L248" t="s">
        <v>17</v>
      </c>
      <c r="M248" t="s">
        <v>35</v>
      </c>
      <c r="N248">
        <f>(Posts[[#This Row],[Likes]]+Posts[[#This Row],[Shares]]+Posts[[#This Row],[Comments]])/Posts[[#This Row],[Impressions]]</f>
        <v>8.2075471698113203E-2</v>
      </c>
    </row>
    <row r="249" spans="1:14" x14ac:dyDescent="0.2">
      <c r="A249" t="s">
        <v>118</v>
      </c>
      <c r="B249" t="s">
        <v>38</v>
      </c>
      <c r="C249" s="1">
        <v>45521</v>
      </c>
      <c r="D249" t="s">
        <v>44</v>
      </c>
      <c r="E249" t="s">
        <v>49</v>
      </c>
      <c r="F249">
        <v>2878</v>
      </c>
      <c r="G249">
        <v>248</v>
      </c>
      <c r="H249">
        <v>416</v>
      </c>
      <c r="I249">
        <v>43170</v>
      </c>
      <c r="J249">
        <v>42667</v>
      </c>
      <c r="K249">
        <v>75</v>
      </c>
      <c r="L249" t="s">
        <v>17</v>
      </c>
      <c r="M249" t="s">
        <v>29</v>
      </c>
      <c r="N249">
        <f>(Posts[[#This Row],[Likes]]+Posts[[#This Row],[Shares]]+Posts[[#This Row],[Comments]])/Posts[[#This Row],[Impressions]]</f>
        <v>8.2047718322909427E-2</v>
      </c>
    </row>
    <row r="250" spans="1:14" x14ac:dyDescent="0.2">
      <c r="A250" t="s">
        <v>285</v>
      </c>
      <c r="B250" t="s">
        <v>31</v>
      </c>
      <c r="C250" s="1">
        <v>45474</v>
      </c>
      <c r="D250" t="s">
        <v>32</v>
      </c>
      <c r="E250" t="s">
        <v>33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34</v>
      </c>
      <c r="M250" t="s">
        <v>18</v>
      </c>
      <c r="N250">
        <f>(Posts[[#This Row],[Likes]]+Posts[[#This Row],[Shares]]+Posts[[#This Row],[Comments]])/Posts[[#This Row],[Impressions]]</f>
        <v>8.1808097615085965E-2</v>
      </c>
    </row>
    <row r="251" spans="1:14" x14ac:dyDescent="0.2">
      <c r="A251" t="s">
        <v>130</v>
      </c>
      <c r="B251" t="s">
        <v>14</v>
      </c>
      <c r="C251" s="1">
        <v>45603</v>
      </c>
      <c r="D251" t="s">
        <v>32</v>
      </c>
      <c r="E251" t="s">
        <v>101</v>
      </c>
      <c r="F251">
        <v>1121</v>
      </c>
      <c r="G251">
        <v>135</v>
      </c>
      <c r="H251">
        <v>18</v>
      </c>
      <c r="I251">
        <v>15694</v>
      </c>
      <c r="J251">
        <v>14957</v>
      </c>
      <c r="K251">
        <v>99</v>
      </c>
      <c r="L251" t="s">
        <v>23</v>
      </c>
      <c r="M251" t="s">
        <v>35</v>
      </c>
      <c r="N251">
        <f>(Posts[[#This Row],[Likes]]+Posts[[#This Row],[Shares]]+Posts[[#This Row],[Comments]])/Posts[[#This Row],[Impressions]]</f>
        <v>8.1177520071364848E-2</v>
      </c>
    </row>
    <row r="252" spans="1:14" x14ac:dyDescent="0.2">
      <c r="A252" t="s">
        <v>111</v>
      </c>
      <c r="B252" t="s">
        <v>14</v>
      </c>
      <c r="C252" s="1">
        <v>45586</v>
      </c>
      <c r="D252" t="s">
        <v>59</v>
      </c>
      <c r="E252" t="s">
        <v>98</v>
      </c>
      <c r="F252">
        <v>2825</v>
      </c>
      <c r="G252">
        <v>535</v>
      </c>
      <c r="H252">
        <v>295</v>
      </c>
      <c r="I252">
        <v>45200</v>
      </c>
      <c r="J252">
        <v>44739</v>
      </c>
      <c r="K252">
        <v>169</v>
      </c>
      <c r="L252" t="s">
        <v>23</v>
      </c>
      <c r="M252" t="s">
        <v>18</v>
      </c>
      <c r="N252">
        <f>(Posts[[#This Row],[Likes]]+Posts[[#This Row],[Shares]]+Posts[[#This Row],[Comments]])/Posts[[#This Row],[Impressions]]</f>
        <v>8.0862831858407078E-2</v>
      </c>
    </row>
    <row r="253" spans="1:14" x14ac:dyDescent="0.2">
      <c r="A253" t="s">
        <v>178</v>
      </c>
      <c r="B253" t="s">
        <v>31</v>
      </c>
      <c r="C253" s="1">
        <v>45567</v>
      </c>
      <c r="D253" t="s">
        <v>21</v>
      </c>
      <c r="E253" t="s">
        <v>81</v>
      </c>
      <c r="F253">
        <v>3432</v>
      </c>
      <c r="G253">
        <v>869</v>
      </c>
      <c r="H253">
        <v>123</v>
      </c>
      <c r="I253">
        <v>54912</v>
      </c>
      <c r="J253">
        <v>53916</v>
      </c>
      <c r="K253">
        <v>264</v>
      </c>
      <c r="L253" t="s">
        <v>34</v>
      </c>
      <c r="M253" t="s">
        <v>24</v>
      </c>
      <c r="N253">
        <f>(Posts[[#This Row],[Likes]]+Posts[[#This Row],[Shares]]+Posts[[#This Row],[Comments]])/Posts[[#This Row],[Impressions]]</f>
        <v>8.0565268065268064E-2</v>
      </c>
    </row>
    <row r="254" spans="1:14" x14ac:dyDescent="0.2">
      <c r="A254" t="s">
        <v>70</v>
      </c>
      <c r="B254" t="s">
        <v>38</v>
      </c>
      <c r="C254" s="1">
        <v>45715</v>
      </c>
      <c r="D254" t="s">
        <v>21</v>
      </c>
      <c r="E254" t="s">
        <v>47</v>
      </c>
      <c r="F254">
        <v>1570</v>
      </c>
      <c r="G254">
        <v>187</v>
      </c>
      <c r="H254">
        <v>260</v>
      </c>
      <c r="I254">
        <v>25120</v>
      </c>
      <c r="J254">
        <v>24613</v>
      </c>
      <c r="K254">
        <v>133</v>
      </c>
      <c r="L254" t="s">
        <v>23</v>
      </c>
      <c r="M254" t="s">
        <v>35</v>
      </c>
      <c r="N254">
        <f>(Posts[[#This Row],[Likes]]+Posts[[#This Row],[Shares]]+Posts[[#This Row],[Comments]])/Posts[[#This Row],[Impressions]]</f>
        <v>8.0294585987261149E-2</v>
      </c>
    </row>
    <row r="255" spans="1:14" x14ac:dyDescent="0.2">
      <c r="A255" t="s">
        <v>174</v>
      </c>
      <c r="B255" t="s">
        <v>38</v>
      </c>
      <c r="C255" s="1">
        <v>45600</v>
      </c>
      <c r="D255" t="s">
        <v>44</v>
      </c>
      <c r="E255" t="s">
        <v>49</v>
      </c>
      <c r="F255">
        <v>4551</v>
      </c>
      <c r="G255">
        <v>714</v>
      </c>
      <c r="H255">
        <v>207</v>
      </c>
      <c r="I255">
        <v>68265</v>
      </c>
      <c r="J255">
        <v>67754</v>
      </c>
      <c r="K255">
        <v>57</v>
      </c>
      <c r="L255" t="s">
        <v>17</v>
      </c>
      <c r="M255" t="s">
        <v>29</v>
      </c>
      <c r="N255">
        <f>(Posts[[#This Row],[Likes]]+Posts[[#This Row],[Shares]]+Posts[[#This Row],[Comments]])/Posts[[#This Row],[Impressions]]</f>
        <v>8.0158206987475278E-2</v>
      </c>
    </row>
    <row r="256" spans="1:14" x14ac:dyDescent="0.2">
      <c r="A256" t="s">
        <v>314</v>
      </c>
      <c r="B256" t="s">
        <v>38</v>
      </c>
      <c r="C256" s="1">
        <v>45753</v>
      </c>
      <c r="D256" t="s">
        <v>44</v>
      </c>
      <c r="E256" t="s">
        <v>49</v>
      </c>
      <c r="F256">
        <v>3090</v>
      </c>
      <c r="G256">
        <v>697</v>
      </c>
      <c r="H256">
        <v>164</v>
      </c>
      <c r="I256">
        <v>49440</v>
      </c>
      <c r="J256">
        <v>48524</v>
      </c>
      <c r="K256">
        <v>25</v>
      </c>
      <c r="L256" t="s">
        <v>34</v>
      </c>
      <c r="M256" t="s">
        <v>24</v>
      </c>
      <c r="N256">
        <f>(Posts[[#This Row],[Likes]]+Posts[[#This Row],[Shares]]+Posts[[#This Row],[Comments]])/Posts[[#This Row],[Impressions]]</f>
        <v>7.9915048543689318E-2</v>
      </c>
    </row>
    <row r="257" spans="1:14" x14ac:dyDescent="0.2">
      <c r="A257" t="s">
        <v>314</v>
      </c>
      <c r="B257" t="s">
        <v>38</v>
      </c>
      <c r="C257" s="1">
        <v>45753</v>
      </c>
      <c r="D257" t="s">
        <v>44</v>
      </c>
      <c r="E257" t="s">
        <v>49</v>
      </c>
      <c r="F257">
        <v>3090</v>
      </c>
      <c r="G257">
        <v>697</v>
      </c>
      <c r="H257">
        <v>164</v>
      </c>
      <c r="I257">
        <v>49440</v>
      </c>
      <c r="J257">
        <v>48524</v>
      </c>
      <c r="K257">
        <v>25</v>
      </c>
      <c r="L257" t="s">
        <v>34</v>
      </c>
      <c r="M257" t="s">
        <v>24</v>
      </c>
      <c r="N257">
        <f>(Posts[[#This Row],[Likes]]+Posts[[#This Row],[Shares]]+Posts[[#This Row],[Comments]])/Posts[[#This Row],[Impressions]]</f>
        <v>7.9915048543689318E-2</v>
      </c>
    </row>
    <row r="258" spans="1:14" x14ac:dyDescent="0.2">
      <c r="A258" t="s">
        <v>314</v>
      </c>
      <c r="B258" t="s">
        <v>38</v>
      </c>
      <c r="C258" s="1">
        <v>45753</v>
      </c>
      <c r="D258" t="s">
        <v>44</v>
      </c>
      <c r="E258" t="s">
        <v>49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25</v>
      </c>
      <c r="M258" t="s">
        <v>24</v>
      </c>
      <c r="N258">
        <f>(Posts[[#This Row],[Likes]]+Posts[[#This Row],[Shares]]+Posts[[#This Row],[Comments]])/Posts[[#This Row],[Impressions]]</f>
        <v>7.9915048543689318E-2</v>
      </c>
    </row>
    <row r="259" spans="1:14" x14ac:dyDescent="0.2">
      <c r="A259" t="s">
        <v>147</v>
      </c>
      <c r="B259" t="s">
        <v>38</v>
      </c>
      <c r="C259" s="1">
        <v>45740</v>
      </c>
      <c r="D259" t="s">
        <v>44</v>
      </c>
      <c r="E259" t="s">
        <v>49</v>
      </c>
      <c r="F259">
        <v>1263</v>
      </c>
      <c r="G259">
        <v>397</v>
      </c>
      <c r="H259">
        <v>357</v>
      </c>
      <c r="I259">
        <v>25260</v>
      </c>
      <c r="J259">
        <v>24615</v>
      </c>
      <c r="K259">
        <v>137</v>
      </c>
      <c r="L259" t="s">
        <v>34</v>
      </c>
      <c r="M259" t="s">
        <v>35</v>
      </c>
      <c r="N259">
        <f>(Posts[[#This Row],[Likes]]+Posts[[#This Row],[Shares]]+Posts[[#This Row],[Comments]])/Posts[[#This Row],[Impressions]]</f>
        <v>7.984956452889945E-2</v>
      </c>
    </row>
    <row r="260" spans="1:14" x14ac:dyDescent="0.2">
      <c r="A260" t="s">
        <v>331</v>
      </c>
      <c r="B260" t="s">
        <v>14</v>
      </c>
      <c r="C260" s="1">
        <v>45658</v>
      </c>
      <c r="D260" t="s">
        <v>39</v>
      </c>
      <c r="E260" t="s">
        <v>42</v>
      </c>
      <c r="F260">
        <v>3535</v>
      </c>
      <c r="G260">
        <v>494</v>
      </c>
      <c r="H260">
        <v>152</v>
      </c>
      <c r="I260">
        <v>53025</v>
      </c>
      <c r="J260">
        <v>52791</v>
      </c>
      <c r="K260">
        <v>44</v>
      </c>
      <c r="L260" t="s">
        <v>23</v>
      </c>
      <c r="M260" t="s">
        <v>35</v>
      </c>
      <c r="N260">
        <f>(Posts[[#This Row],[Likes]]+Posts[[#This Row],[Shares]]+Posts[[#This Row],[Comments]])/Posts[[#This Row],[Impressions]]</f>
        <v>7.8849599245638849E-2</v>
      </c>
    </row>
    <row r="261" spans="1:14" x14ac:dyDescent="0.2">
      <c r="A261" t="s">
        <v>105</v>
      </c>
      <c r="B261" t="s">
        <v>38</v>
      </c>
      <c r="C261" s="1">
        <v>45456</v>
      </c>
      <c r="D261" t="s">
        <v>39</v>
      </c>
      <c r="E261" t="s">
        <v>40</v>
      </c>
      <c r="F261">
        <v>2200</v>
      </c>
      <c r="G261">
        <v>504</v>
      </c>
      <c r="H261">
        <v>239</v>
      </c>
      <c r="I261">
        <v>37400</v>
      </c>
      <c r="J261">
        <v>36938</v>
      </c>
      <c r="K261">
        <v>225</v>
      </c>
      <c r="L261" t="s">
        <v>17</v>
      </c>
      <c r="M261" t="s">
        <v>24</v>
      </c>
      <c r="N261">
        <f>(Posts[[#This Row],[Likes]]+Posts[[#This Row],[Shares]]+Posts[[#This Row],[Comments]])/Posts[[#This Row],[Impressions]]</f>
        <v>7.8689839572192513E-2</v>
      </c>
    </row>
    <row r="262" spans="1:14" x14ac:dyDescent="0.2">
      <c r="A262" t="s">
        <v>134</v>
      </c>
      <c r="B262" t="s">
        <v>31</v>
      </c>
      <c r="C262" s="1">
        <v>45456</v>
      </c>
      <c r="D262" t="s">
        <v>32</v>
      </c>
      <c r="E262" t="s">
        <v>33</v>
      </c>
      <c r="F262">
        <v>2103</v>
      </c>
      <c r="G262">
        <v>892</v>
      </c>
      <c r="H262">
        <v>103</v>
      </c>
      <c r="I262">
        <v>39957</v>
      </c>
      <c r="J262">
        <v>39466</v>
      </c>
      <c r="K262">
        <v>28</v>
      </c>
      <c r="L262" t="s">
        <v>17</v>
      </c>
      <c r="M262" t="s">
        <v>57</v>
      </c>
      <c r="N262">
        <f>(Posts[[#This Row],[Likes]]+Posts[[#This Row],[Shares]]+Posts[[#This Row],[Comments]])/Posts[[#This Row],[Impressions]]</f>
        <v>7.7533348349475686E-2</v>
      </c>
    </row>
    <row r="263" spans="1:14" x14ac:dyDescent="0.2">
      <c r="A263" t="s">
        <v>287</v>
      </c>
      <c r="B263" t="s">
        <v>38</v>
      </c>
      <c r="C263" s="1">
        <v>45488</v>
      </c>
      <c r="D263" t="s">
        <v>15</v>
      </c>
      <c r="E263" t="s">
        <v>52</v>
      </c>
      <c r="F263">
        <v>3663</v>
      </c>
      <c r="G263">
        <v>17</v>
      </c>
      <c r="H263">
        <v>295</v>
      </c>
      <c r="I263">
        <v>51282</v>
      </c>
      <c r="J263">
        <v>50567</v>
      </c>
      <c r="K263">
        <v>84</v>
      </c>
      <c r="L263" t="s">
        <v>34</v>
      </c>
      <c r="M263" t="s">
        <v>29</v>
      </c>
      <c r="N263">
        <f>(Posts[[#This Row],[Likes]]+Posts[[#This Row],[Shares]]+Posts[[#This Row],[Comments]])/Posts[[#This Row],[Impressions]]</f>
        <v>7.7512577512577507E-2</v>
      </c>
    </row>
    <row r="264" spans="1:14" x14ac:dyDescent="0.2">
      <c r="A264" t="s">
        <v>206</v>
      </c>
      <c r="B264" t="s">
        <v>14</v>
      </c>
      <c r="C264" s="1">
        <v>45459</v>
      </c>
      <c r="D264" t="s">
        <v>59</v>
      </c>
      <c r="E264" t="s">
        <v>98</v>
      </c>
      <c r="F264">
        <v>1702</v>
      </c>
      <c r="G264">
        <v>750</v>
      </c>
      <c r="H264">
        <v>179</v>
      </c>
      <c r="I264">
        <v>34040</v>
      </c>
      <c r="J264">
        <v>33174</v>
      </c>
      <c r="K264">
        <v>76</v>
      </c>
      <c r="L264" t="s">
        <v>34</v>
      </c>
      <c r="M264" t="s">
        <v>18</v>
      </c>
      <c r="N264">
        <f>(Posts[[#This Row],[Likes]]+Posts[[#This Row],[Shares]]+Posts[[#This Row],[Comments]])/Posts[[#This Row],[Impressions]]</f>
        <v>7.7291421856639245E-2</v>
      </c>
    </row>
    <row r="265" spans="1:14" x14ac:dyDescent="0.2">
      <c r="A265" t="s">
        <v>69</v>
      </c>
      <c r="B265" t="s">
        <v>31</v>
      </c>
      <c r="C265" s="1">
        <v>45661</v>
      </c>
      <c r="D265" t="s">
        <v>15</v>
      </c>
      <c r="E265" t="s">
        <v>64</v>
      </c>
      <c r="F265">
        <v>4838</v>
      </c>
      <c r="G265">
        <v>640</v>
      </c>
      <c r="H265">
        <v>128</v>
      </c>
      <c r="I265">
        <v>72570</v>
      </c>
      <c r="J265">
        <v>72396</v>
      </c>
      <c r="K265">
        <v>83</v>
      </c>
      <c r="L265" t="s">
        <v>17</v>
      </c>
      <c r="M265" t="s">
        <v>35</v>
      </c>
      <c r="N265">
        <f>(Posts[[#This Row],[Likes]]+Posts[[#This Row],[Shares]]+Posts[[#This Row],[Comments]])/Posts[[#This Row],[Impressions]]</f>
        <v>7.7249552156538517E-2</v>
      </c>
    </row>
    <row r="266" spans="1:14" x14ac:dyDescent="0.2">
      <c r="A266" t="s">
        <v>71</v>
      </c>
      <c r="B266" t="s">
        <v>38</v>
      </c>
      <c r="C266" s="1">
        <v>45602</v>
      </c>
      <c r="D266" t="s">
        <v>59</v>
      </c>
      <c r="E266" t="s">
        <v>60</v>
      </c>
      <c r="F266">
        <v>1606</v>
      </c>
      <c r="G266">
        <v>547</v>
      </c>
      <c r="H266">
        <v>316</v>
      </c>
      <c r="I266">
        <v>32120</v>
      </c>
      <c r="J266">
        <v>31736</v>
      </c>
      <c r="K266">
        <v>225</v>
      </c>
      <c r="L266" t="s">
        <v>23</v>
      </c>
      <c r="M266" t="s">
        <v>24</v>
      </c>
      <c r="N266">
        <f>(Posts[[#This Row],[Likes]]+Posts[[#This Row],[Shares]]+Posts[[#This Row],[Comments]])/Posts[[#This Row],[Impressions]]</f>
        <v>7.6867995018679955E-2</v>
      </c>
    </row>
    <row r="267" spans="1:14" x14ac:dyDescent="0.2">
      <c r="A267" t="s">
        <v>71</v>
      </c>
      <c r="B267" t="s">
        <v>38</v>
      </c>
      <c r="C267" s="1">
        <v>45602</v>
      </c>
      <c r="D267" t="s">
        <v>59</v>
      </c>
      <c r="E267" t="s">
        <v>60</v>
      </c>
      <c r="F267">
        <v>1606</v>
      </c>
      <c r="G267">
        <v>547</v>
      </c>
      <c r="H267">
        <v>316</v>
      </c>
      <c r="I267">
        <v>32120</v>
      </c>
      <c r="J267">
        <v>31736</v>
      </c>
      <c r="K267">
        <v>225</v>
      </c>
      <c r="L267" t="s">
        <v>19</v>
      </c>
      <c r="M267" t="s">
        <v>24</v>
      </c>
      <c r="N267">
        <f>(Posts[[#This Row],[Likes]]+Posts[[#This Row],[Shares]]+Posts[[#This Row],[Comments]])/Posts[[#This Row],[Impressions]]</f>
        <v>7.6867995018679955E-2</v>
      </c>
    </row>
    <row r="268" spans="1:14" x14ac:dyDescent="0.2">
      <c r="A268" t="s">
        <v>86</v>
      </c>
      <c r="B268" t="s">
        <v>31</v>
      </c>
      <c r="C268" s="1">
        <v>45766</v>
      </c>
      <c r="D268" t="s">
        <v>32</v>
      </c>
      <c r="E268" t="s">
        <v>33</v>
      </c>
      <c r="F268">
        <v>4518</v>
      </c>
      <c r="G268">
        <v>285</v>
      </c>
      <c r="H268">
        <v>383</v>
      </c>
      <c r="I268">
        <v>67770</v>
      </c>
      <c r="J268">
        <v>67621</v>
      </c>
      <c r="K268">
        <v>31</v>
      </c>
      <c r="L268" t="s">
        <v>34</v>
      </c>
      <c r="M268" t="s">
        <v>24</v>
      </c>
      <c r="N268">
        <f>(Posts[[#This Row],[Likes]]+Posts[[#This Row],[Shares]]+Posts[[#This Row],[Comments]])/Posts[[#This Row],[Impressions]]</f>
        <v>7.6523535487678915E-2</v>
      </c>
    </row>
    <row r="269" spans="1:14" x14ac:dyDescent="0.2">
      <c r="A269" t="s">
        <v>20</v>
      </c>
      <c r="B269" t="s">
        <v>14</v>
      </c>
      <c r="C269" s="1">
        <v>45750</v>
      </c>
      <c r="D269" t="s">
        <v>21</v>
      </c>
      <c r="E269" t="s">
        <v>22</v>
      </c>
      <c r="F269">
        <v>4054</v>
      </c>
      <c r="G269">
        <v>389</v>
      </c>
      <c r="H269">
        <v>493</v>
      </c>
      <c r="I269">
        <v>64864</v>
      </c>
      <c r="J269">
        <v>64383</v>
      </c>
      <c r="K269">
        <v>117</v>
      </c>
      <c r="L269" t="s">
        <v>23</v>
      </c>
      <c r="M269" t="s">
        <v>24</v>
      </c>
      <c r="N269">
        <f>(Posts[[#This Row],[Likes]]+Posts[[#This Row],[Shares]]+Posts[[#This Row],[Comments]])/Posts[[#This Row],[Impressions]]</f>
        <v>7.6097681302417369E-2</v>
      </c>
    </row>
    <row r="270" spans="1:14" x14ac:dyDescent="0.2">
      <c r="A270" t="s">
        <v>20</v>
      </c>
      <c r="B270" t="s">
        <v>14</v>
      </c>
      <c r="C270" s="1">
        <v>45750</v>
      </c>
      <c r="D270" t="s">
        <v>21</v>
      </c>
      <c r="E270" t="s">
        <v>22</v>
      </c>
      <c r="F270">
        <v>4054</v>
      </c>
      <c r="G270">
        <v>389</v>
      </c>
      <c r="H270">
        <v>493</v>
      </c>
      <c r="I270">
        <v>64864</v>
      </c>
      <c r="J270">
        <v>64383</v>
      </c>
      <c r="K270">
        <v>117</v>
      </c>
      <c r="L270" t="s">
        <v>25</v>
      </c>
      <c r="M270" t="s">
        <v>24</v>
      </c>
      <c r="N270">
        <f>(Posts[[#This Row],[Likes]]+Posts[[#This Row],[Shares]]+Posts[[#This Row],[Comments]])/Posts[[#This Row],[Impressions]]</f>
        <v>7.6097681302417369E-2</v>
      </c>
    </row>
    <row r="271" spans="1:14" x14ac:dyDescent="0.2">
      <c r="A271" t="s">
        <v>291</v>
      </c>
      <c r="B271" t="s">
        <v>38</v>
      </c>
      <c r="C271" s="1">
        <v>45444</v>
      </c>
      <c r="D271" t="s">
        <v>21</v>
      </c>
      <c r="E271" t="s">
        <v>47</v>
      </c>
      <c r="F271">
        <v>1272</v>
      </c>
      <c r="G271">
        <v>465</v>
      </c>
      <c r="H271">
        <v>99</v>
      </c>
      <c r="I271">
        <v>24168</v>
      </c>
      <c r="J271">
        <v>23719</v>
      </c>
      <c r="K271">
        <v>42</v>
      </c>
      <c r="L271" t="s">
        <v>23</v>
      </c>
      <c r="M271" t="s">
        <v>57</v>
      </c>
      <c r="N271">
        <f>(Posts[[#This Row],[Likes]]+Posts[[#This Row],[Shares]]+Posts[[#This Row],[Comments]])/Posts[[#This Row],[Impressions]]</f>
        <v>7.5968222442899705E-2</v>
      </c>
    </row>
    <row r="272" spans="1:14" x14ac:dyDescent="0.2">
      <c r="A272" t="s">
        <v>53</v>
      </c>
      <c r="B272" t="s">
        <v>27</v>
      </c>
      <c r="C272" s="1">
        <v>45614</v>
      </c>
      <c r="D272" t="s">
        <v>39</v>
      </c>
      <c r="E272" t="s">
        <v>54</v>
      </c>
      <c r="F272">
        <v>1171</v>
      </c>
      <c r="G272">
        <v>286</v>
      </c>
      <c r="H272">
        <v>231</v>
      </c>
      <c r="I272">
        <v>22249</v>
      </c>
      <c r="J272">
        <v>21282</v>
      </c>
      <c r="K272">
        <v>114</v>
      </c>
      <c r="L272" t="s">
        <v>34</v>
      </c>
      <c r="M272" t="s">
        <v>18</v>
      </c>
      <c r="N272">
        <f>(Posts[[#This Row],[Likes]]+Posts[[#This Row],[Shares]]+Posts[[#This Row],[Comments]])/Posts[[#This Row],[Impressions]]</f>
        <v>7.5868578363072495E-2</v>
      </c>
    </row>
    <row r="273" spans="1:14" x14ac:dyDescent="0.2">
      <c r="A273" t="s">
        <v>61</v>
      </c>
      <c r="B273" t="s">
        <v>38</v>
      </c>
      <c r="C273" s="1">
        <v>45530</v>
      </c>
      <c r="D273" t="s">
        <v>21</v>
      </c>
      <c r="E273" t="s">
        <v>47</v>
      </c>
      <c r="F273">
        <v>3452</v>
      </c>
      <c r="G273">
        <v>377</v>
      </c>
      <c r="H273">
        <v>360</v>
      </c>
      <c r="I273">
        <v>55232</v>
      </c>
      <c r="J273">
        <v>55075</v>
      </c>
      <c r="K273">
        <v>87</v>
      </c>
      <c r="L273" t="s">
        <v>17</v>
      </c>
      <c r="M273" t="s">
        <v>29</v>
      </c>
      <c r="N273">
        <f>(Posts[[#This Row],[Likes]]+Posts[[#This Row],[Shares]]+Posts[[#This Row],[Comments]])/Posts[[#This Row],[Impressions]]</f>
        <v>7.5843713789107758E-2</v>
      </c>
    </row>
    <row r="274" spans="1:14" x14ac:dyDescent="0.2">
      <c r="A274" t="s">
        <v>236</v>
      </c>
      <c r="B274" t="s">
        <v>38</v>
      </c>
      <c r="C274" s="1">
        <v>45488</v>
      </c>
      <c r="D274" t="s">
        <v>39</v>
      </c>
      <c r="E274" t="s">
        <v>40</v>
      </c>
      <c r="F274">
        <v>3796</v>
      </c>
      <c r="G274">
        <v>667</v>
      </c>
      <c r="H274">
        <v>395</v>
      </c>
      <c r="I274">
        <v>64532</v>
      </c>
      <c r="J274">
        <v>63550</v>
      </c>
      <c r="K274">
        <v>292</v>
      </c>
      <c r="L274" t="s">
        <v>23</v>
      </c>
      <c r="M274" t="s">
        <v>57</v>
      </c>
      <c r="N274">
        <f>(Posts[[#This Row],[Likes]]+Posts[[#This Row],[Shares]]+Posts[[#This Row],[Comments]])/Posts[[#This Row],[Impressions]]</f>
        <v>7.5280481001673588E-2</v>
      </c>
    </row>
    <row r="275" spans="1:14" x14ac:dyDescent="0.2">
      <c r="A275" t="s">
        <v>96</v>
      </c>
      <c r="B275" t="s">
        <v>38</v>
      </c>
      <c r="C275" s="1">
        <v>45597</v>
      </c>
      <c r="D275" t="s">
        <v>59</v>
      </c>
      <c r="E275" t="s">
        <v>60</v>
      </c>
      <c r="F275">
        <v>3371</v>
      </c>
      <c r="G275">
        <v>106</v>
      </c>
      <c r="H275">
        <v>327</v>
      </c>
      <c r="I275">
        <v>50565</v>
      </c>
      <c r="J275">
        <v>49816</v>
      </c>
      <c r="K275">
        <v>176</v>
      </c>
      <c r="L275" t="s">
        <v>17</v>
      </c>
      <c r="M275" t="s">
        <v>18</v>
      </c>
      <c r="N275">
        <f>(Posts[[#This Row],[Likes]]+Posts[[#This Row],[Shares]]+Posts[[#This Row],[Comments]])/Posts[[#This Row],[Impressions]]</f>
        <v>7.5229902106199939E-2</v>
      </c>
    </row>
    <row r="276" spans="1:14" x14ac:dyDescent="0.2">
      <c r="A276" t="s">
        <v>225</v>
      </c>
      <c r="B276" t="s">
        <v>38</v>
      </c>
      <c r="C276" s="1">
        <v>45608</v>
      </c>
      <c r="D276" t="s">
        <v>21</v>
      </c>
      <c r="E276" t="s">
        <v>47</v>
      </c>
      <c r="F276">
        <v>2418</v>
      </c>
      <c r="G276">
        <v>754</v>
      </c>
      <c r="H276">
        <v>54</v>
      </c>
      <c r="I276">
        <v>43524</v>
      </c>
      <c r="J276">
        <v>42743</v>
      </c>
      <c r="K276">
        <v>182</v>
      </c>
      <c r="L276" t="s">
        <v>34</v>
      </c>
      <c r="M276" t="s">
        <v>18</v>
      </c>
      <c r="N276">
        <f>(Posts[[#This Row],[Likes]]+Posts[[#This Row],[Shares]]+Posts[[#This Row],[Comments]])/Posts[[#This Row],[Impressions]]</f>
        <v>7.412002573292896E-2</v>
      </c>
    </row>
    <row r="277" spans="1:14" x14ac:dyDescent="0.2">
      <c r="A277" t="s">
        <v>167</v>
      </c>
      <c r="B277" t="s">
        <v>27</v>
      </c>
      <c r="C277" s="1">
        <v>45619</v>
      </c>
      <c r="D277" t="s">
        <v>44</v>
      </c>
      <c r="E277" t="s">
        <v>45</v>
      </c>
      <c r="F277">
        <v>2719</v>
      </c>
      <c r="G277">
        <v>17</v>
      </c>
      <c r="H277">
        <v>285</v>
      </c>
      <c r="I277">
        <v>40785</v>
      </c>
      <c r="J277">
        <v>40281</v>
      </c>
      <c r="K277">
        <v>40</v>
      </c>
      <c r="L277" t="s">
        <v>23</v>
      </c>
      <c r="M277" t="s">
        <v>24</v>
      </c>
      <c r="N277">
        <f>(Posts[[#This Row],[Likes]]+Posts[[#This Row],[Shares]]+Posts[[#This Row],[Comments]])/Posts[[#This Row],[Impressions]]</f>
        <v>7.4071349760941527E-2</v>
      </c>
    </row>
    <row r="278" spans="1:14" x14ac:dyDescent="0.2">
      <c r="A278" t="s">
        <v>157</v>
      </c>
      <c r="B278" t="s">
        <v>27</v>
      </c>
      <c r="C278" s="1">
        <v>45583</v>
      </c>
      <c r="D278" t="s">
        <v>59</v>
      </c>
      <c r="E278" t="s">
        <v>139</v>
      </c>
      <c r="F278">
        <v>4450</v>
      </c>
      <c r="G278">
        <v>983</v>
      </c>
      <c r="H278">
        <v>143</v>
      </c>
      <c r="I278">
        <v>75650</v>
      </c>
      <c r="J278">
        <v>75008</v>
      </c>
      <c r="K278">
        <v>12</v>
      </c>
      <c r="L278" t="s">
        <v>17</v>
      </c>
      <c r="M278" t="s">
        <v>29</v>
      </c>
      <c r="N278">
        <f>(Posts[[#This Row],[Likes]]+Posts[[#This Row],[Shares]]+Posts[[#This Row],[Comments]])/Posts[[#This Row],[Impressions]]</f>
        <v>7.3707865168539333E-2</v>
      </c>
    </row>
    <row r="279" spans="1:14" x14ac:dyDescent="0.2">
      <c r="A279" t="s">
        <v>100</v>
      </c>
      <c r="B279" t="s">
        <v>14</v>
      </c>
      <c r="C279" s="1">
        <v>45727</v>
      </c>
      <c r="D279" t="s">
        <v>32</v>
      </c>
      <c r="E279" t="s">
        <v>101</v>
      </c>
      <c r="F279">
        <v>1950</v>
      </c>
      <c r="G279">
        <v>295</v>
      </c>
      <c r="H279">
        <v>478</v>
      </c>
      <c r="I279">
        <v>37050</v>
      </c>
      <c r="J279">
        <v>36272</v>
      </c>
      <c r="K279">
        <v>119</v>
      </c>
      <c r="L279" t="s">
        <v>23</v>
      </c>
      <c r="M279" t="s">
        <v>57</v>
      </c>
      <c r="N279">
        <f>(Posts[[#This Row],[Likes]]+Posts[[#This Row],[Shares]]+Posts[[#This Row],[Comments]])/Posts[[#This Row],[Impressions]]</f>
        <v>7.349527665317139E-2</v>
      </c>
    </row>
    <row r="280" spans="1:14" x14ac:dyDescent="0.2">
      <c r="A280" t="s">
        <v>307</v>
      </c>
      <c r="B280" t="s">
        <v>38</v>
      </c>
      <c r="C280" s="1">
        <v>45465</v>
      </c>
      <c r="D280" t="s">
        <v>15</v>
      </c>
      <c r="E280" t="s">
        <v>52</v>
      </c>
      <c r="F280">
        <v>3813</v>
      </c>
      <c r="G280">
        <v>935</v>
      </c>
      <c r="H280">
        <v>274</v>
      </c>
      <c r="I280">
        <v>68634</v>
      </c>
      <c r="J280">
        <v>68488</v>
      </c>
      <c r="K280">
        <v>251</v>
      </c>
      <c r="L280" t="s">
        <v>17</v>
      </c>
      <c r="M280" t="s">
        <v>57</v>
      </c>
      <c r="N280">
        <f>(Posts[[#This Row],[Likes]]+Posts[[#This Row],[Shares]]+Posts[[#This Row],[Comments]])/Posts[[#This Row],[Impressions]]</f>
        <v>7.3170731707317069E-2</v>
      </c>
    </row>
    <row r="281" spans="1:14" x14ac:dyDescent="0.2">
      <c r="A281" t="s">
        <v>346</v>
      </c>
      <c r="B281" t="s">
        <v>38</v>
      </c>
      <c r="C281" s="1">
        <v>45624</v>
      </c>
      <c r="D281" t="s">
        <v>39</v>
      </c>
      <c r="E281" t="s">
        <v>40</v>
      </c>
      <c r="F281">
        <v>2751</v>
      </c>
      <c r="G281">
        <v>33</v>
      </c>
      <c r="H281">
        <v>430</v>
      </c>
      <c r="I281">
        <v>44016</v>
      </c>
      <c r="J281">
        <v>43415</v>
      </c>
      <c r="K281">
        <v>129</v>
      </c>
      <c r="L281" t="s">
        <v>17</v>
      </c>
      <c r="M281" t="s">
        <v>57</v>
      </c>
      <c r="N281">
        <f>(Posts[[#This Row],[Likes]]+Posts[[#This Row],[Shares]]+Posts[[#This Row],[Comments]])/Posts[[#This Row],[Impressions]]</f>
        <v>7.3018902217375503E-2</v>
      </c>
    </row>
    <row r="282" spans="1:14" x14ac:dyDescent="0.2">
      <c r="A282" t="s">
        <v>290</v>
      </c>
      <c r="B282" t="s">
        <v>38</v>
      </c>
      <c r="C282" s="1">
        <v>45724</v>
      </c>
      <c r="D282" t="s">
        <v>44</v>
      </c>
      <c r="E282" t="s">
        <v>49</v>
      </c>
      <c r="F282">
        <v>2382</v>
      </c>
      <c r="G282">
        <v>265</v>
      </c>
      <c r="H282">
        <v>134</v>
      </c>
      <c r="I282">
        <v>38112</v>
      </c>
      <c r="J282">
        <v>37437</v>
      </c>
      <c r="K282">
        <v>249</v>
      </c>
      <c r="L282" t="s">
        <v>17</v>
      </c>
      <c r="M282" t="s">
        <v>35</v>
      </c>
      <c r="N282">
        <f>(Posts[[#This Row],[Likes]]+Posts[[#This Row],[Shares]]+Posts[[#This Row],[Comments]])/Posts[[#This Row],[Impressions]]</f>
        <v>7.2969143576826198E-2</v>
      </c>
    </row>
    <row r="283" spans="1:14" x14ac:dyDescent="0.2">
      <c r="A283" t="s">
        <v>229</v>
      </c>
      <c r="B283" t="s">
        <v>38</v>
      </c>
      <c r="C283" s="1">
        <v>45518</v>
      </c>
      <c r="D283" t="s">
        <v>39</v>
      </c>
      <c r="E283" t="s">
        <v>40</v>
      </c>
      <c r="F283">
        <v>3073</v>
      </c>
      <c r="G283">
        <v>553</v>
      </c>
      <c r="H283">
        <v>174</v>
      </c>
      <c r="I283">
        <v>52241</v>
      </c>
      <c r="J283">
        <v>51605</v>
      </c>
      <c r="K283">
        <v>246</v>
      </c>
      <c r="L283" t="s">
        <v>34</v>
      </c>
      <c r="M283" t="s">
        <v>29</v>
      </c>
      <c r="N283">
        <f>(Posts[[#This Row],[Likes]]+Posts[[#This Row],[Shares]]+Posts[[#This Row],[Comments]])/Posts[[#This Row],[Impressions]]</f>
        <v>7.2739802071170159E-2</v>
      </c>
    </row>
    <row r="284" spans="1:14" x14ac:dyDescent="0.2">
      <c r="A284" t="s">
        <v>295</v>
      </c>
      <c r="B284" t="s">
        <v>14</v>
      </c>
      <c r="C284" s="1">
        <v>45489</v>
      </c>
      <c r="D284" t="s">
        <v>21</v>
      </c>
      <c r="E284" t="s">
        <v>22</v>
      </c>
      <c r="F284">
        <v>4725</v>
      </c>
      <c r="G284">
        <v>400</v>
      </c>
      <c r="H284">
        <v>362</v>
      </c>
      <c r="I284">
        <v>75600</v>
      </c>
      <c r="J284">
        <v>74927</v>
      </c>
      <c r="K284">
        <v>43</v>
      </c>
      <c r="L284" t="s">
        <v>17</v>
      </c>
      <c r="M284" t="s">
        <v>35</v>
      </c>
      <c r="N284">
        <f>(Posts[[#This Row],[Likes]]+Posts[[#This Row],[Shares]]+Posts[[#This Row],[Comments]])/Posts[[#This Row],[Impressions]]</f>
        <v>7.2579365079365077E-2</v>
      </c>
    </row>
    <row r="285" spans="1:14" x14ac:dyDescent="0.2">
      <c r="A285" t="s">
        <v>246</v>
      </c>
      <c r="B285" t="s">
        <v>38</v>
      </c>
      <c r="C285" s="1">
        <v>45740</v>
      </c>
      <c r="D285" t="s">
        <v>15</v>
      </c>
      <c r="E285" t="s">
        <v>52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23</v>
      </c>
      <c r="M285" t="s">
        <v>18</v>
      </c>
      <c r="N285">
        <f>(Posts[[#This Row],[Likes]]+Posts[[#This Row],[Shares]]+Posts[[#This Row],[Comments]])/Posts[[#This Row],[Impressions]]</f>
        <v>7.2503306878306875E-2</v>
      </c>
    </row>
    <row r="286" spans="1:14" x14ac:dyDescent="0.2">
      <c r="A286" t="s">
        <v>89</v>
      </c>
      <c r="B286" t="s">
        <v>38</v>
      </c>
      <c r="C286" s="1">
        <v>45621</v>
      </c>
      <c r="D286" t="s">
        <v>44</v>
      </c>
      <c r="E286" t="s">
        <v>49</v>
      </c>
      <c r="F286">
        <v>3564</v>
      </c>
      <c r="G286">
        <v>629</v>
      </c>
      <c r="H286">
        <v>177</v>
      </c>
      <c r="I286">
        <v>60588</v>
      </c>
      <c r="J286">
        <v>59627</v>
      </c>
      <c r="K286">
        <v>92</v>
      </c>
      <c r="L286" t="s">
        <v>23</v>
      </c>
      <c r="M286" t="s">
        <v>57</v>
      </c>
      <c r="N286">
        <f>(Posts[[#This Row],[Likes]]+Posts[[#This Row],[Shares]]+Posts[[#This Row],[Comments]])/Posts[[#This Row],[Impressions]]</f>
        <v>7.2126493695121141E-2</v>
      </c>
    </row>
    <row r="287" spans="1:14" x14ac:dyDescent="0.2">
      <c r="A287" t="s">
        <v>272</v>
      </c>
      <c r="B287" t="s">
        <v>38</v>
      </c>
      <c r="C287" s="1">
        <v>45783</v>
      </c>
      <c r="D287" t="s">
        <v>44</v>
      </c>
      <c r="E287" t="s">
        <v>49</v>
      </c>
      <c r="F287">
        <v>4872</v>
      </c>
      <c r="G287">
        <v>925</v>
      </c>
      <c r="H287">
        <v>176</v>
      </c>
      <c r="I287">
        <v>82824</v>
      </c>
      <c r="J287">
        <v>82543</v>
      </c>
      <c r="K287">
        <v>89</v>
      </c>
      <c r="L287" t="s">
        <v>34</v>
      </c>
      <c r="M287" t="s">
        <v>24</v>
      </c>
      <c r="N287">
        <f>(Posts[[#This Row],[Likes]]+Posts[[#This Row],[Shares]]+Posts[[#This Row],[Comments]])/Posts[[#This Row],[Impressions]]</f>
        <v>7.2116777745580993E-2</v>
      </c>
    </row>
    <row r="288" spans="1:14" x14ac:dyDescent="0.2">
      <c r="A288" t="s">
        <v>72</v>
      </c>
      <c r="B288" t="s">
        <v>38</v>
      </c>
      <c r="C288" s="1">
        <v>45680</v>
      </c>
      <c r="D288" t="s">
        <v>59</v>
      </c>
      <c r="E288" t="s">
        <v>60</v>
      </c>
      <c r="F288">
        <v>3961</v>
      </c>
      <c r="G288">
        <v>761</v>
      </c>
      <c r="H288">
        <v>131</v>
      </c>
      <c r="I288">
        <v>67337</v>
      </c>
      <c r="J288">
        <v>66615</v>
      </c>
      <c r="K288">
        <v>161</v>
      </c>
      <c r="L288" t="s">
        <v>17</v>
      </c>
      <c r="M288" t="s">
        <v>29</v>
      </c>
      <c r="N288">
        <f>(Posts[[#This Row],[Likes]]+Posts[[#This Row],[Shares]]+Posts[[#This Row],[Comments]])/Posts[[#This Row],[Impressions]]</f>
        <v>7.2070332803659209E-2</v>
      </c>
    </row>
    <row r="289" spans="1:14" x14ac:dyDescent="0.2">
      <c r="A289" t="s">
        <v>155</v>
      </c>
      <c r="B289" t="s">
        <v>27</v>
      </c>
      <c r="C289" s="1">
        <v>45475</v>
      </c>
      <c r="D289" t="s">
        <v>39</v>
      </c>
      <c r="E289" t="s">
        <v>54</v>
      </c>
      <c r="F289">
        <v>4171</v>
      </c>
      <c r="G289">
        <v>548</v>
      </c>
      <c r="H289">
        <v>86</v>
      </c>
      <c r="I289">
        <v>66736</v>
      </c>
      <c r="J289">
        <v>66634</v>
      </c>
      <c r="K289">
        <v>173</v>
      </c>
      <c r="L289" t="s">
        <v>17</v>
      </c>
      <c r="M289" t="s">
        <v>29</v>
      </c>
      <c r="N289">
        <f>(Posts[[#This Row],[Likes]]+Posts[[#This Row],[Shares]]+Posts[[#This Row],[Comments]])/Posts[[#This Row],[Impressions]]</f>
        <v>7.2000119875329657E-2</v>
      </c>
    </row>
    <row r="290" spans="1:14" x14ac:dyDescent="0.2">
      <c r="A290" t="s">
        <v>48</v>
      </c>
      <c r="B290" t="s">
        <v>38</v>
      </c>
      <c r="C290" s="1">
        <v>45727</v>
      </c>
      <c r="D290" t="s">
        <v>44</v>
      </c>
      <c r="E290" t="s">
        <v>49</v>
      </c>
      <c r="F290">
        <v>4241</v>
      </c>
      <c r="G290">
        <v>902</v>
      </c>
      <c r="H290">
        <v>47</v>
      </c>
      <c r="I290">
        <v>72097</v>
      </c>
      <c r="J290">
        <v>71598</v>
      </c>
      <c r="K290">
        <v>167</v>
      </c>
      <c r="L290" t="s">
        <v>23</v>
      </c>
      <c r="M290" t="s">
        <v>24</v>
      </c>
      <c r="N290">
        <f>(Posts[[#This Row],[Likes]]+Posts[[#This Row],[Shares]]+Posts[[#This Row],[Comments]])/Posts[[#This Row],[Impressions]]</f>
        <v>7.198635172059864E-2</v>
      </c>
    </row>
    <row r="291" spans="1:14" x14ac:dyDescent="0.2">
      <c r="A291" t="s">
        <v>348</v>
      </c>
      <c r="B291" t="s">
        <v>38</v>
      </c>
      <c r="C291" s="1">
        <v>45602</v>
      </c>
      <c r="D291" t="s">
        <v>59</v>
      </c>
      <c r="E291" t="s">
        <v>60</v>
      </c>
      <c r="F291">
        <v>4663</v>
      </c>
      <c r="G291">
        <v>145</v>
      </c>
      <c r="H291">
        <v>225</v>
      </c>
      <c r="I291">
        <v>69945</v>
      </c>
      <c r="J291">
        <v>69596</v>
      </c>
      <c r="K291">
        <v>35</v>
      </c>
      <c r="L291" t="s">
        <v>34</v>
      </c>
      <c r="M291" t="s">
        <v>35</v>
      </c>
      <c r="N291">
        <f>(Posts[[#This Row],[Likes]]+Posts[[#This Row],[Shares]]+Posts[[#This Row],[Comments]])/Posts[[#This Row],[Impressions]]</f>
        <v>7.1956537279290869E-2</v>
      </c>
    </row>
    <row r="292" spans="1:14" x14ac:dyDescent="0.2">
      <c r="A292" t="s">
        <v>189</v>
      </c>
      <c r="B292" t="s">
        <v>38</v>
      </c>
      <c r="C292" s="1">
        <v>45694</v>
      </c>
      <c r="D292" t="s">
        <v>44</v>
      </c>
      <c r="E292" t="s">
        <v>49</v>
      </c>
      <c r="F292">
        <v>2072</v>
      </c>
      <c r="G292">
        <v>532</v>
      </c>
      <c r="H292">
        <v>71</v>
      </c>
      <c r="I292">
        <v>37296</v>
      </c>
      <c r="J292">
        <v>36467</v>
      </c>
      <c r="K292">
        <v>25</v>
      </c>
      <c r="L292" t="s">
        <v>23</v>
      </c>
      <c r="M292" t="s">
        <v>35</v>
      </c>
      <c r="N292">
        <f>(Posts[[#This Row],[Likes]]+Posts[[#This Row],[Shares]]+Posts[[#This Row],[Comments]])/Posts[[#This Row],[Impressions]]</f>
        <v>7.172350922350923E-2</v>
      </c>
    </row>
    <row r="293" spans="1:14" x14ac:dyDescent="0.2">
      <c r="A293" t="s">
        <v>75</v>
      </c>
      <c r="B293" t="s">
        <v>27</v>
      </c>
      <c r="C293" s="1">
        <v>45552</v>
      </c>
      <c r="D293" t="s">
        <v>21</v>
      </c>
      <c r="E293" t="s">
        <v>76</v>
      </c>
      <c r="F293">
        <v>2076</v>
      </c>
      <c r="G293">
        <v>195</v>
      </c>
      <c r="H293">
        <v>104</v>
      </c>
      <c r="I293">
        <v>33216</v>
      </c>
      <c r="J293">
        <v>32244</v>
      </c>
      <c r="K293">
        <v>51</v>
      </c>
      <c r="L293" t="s">
        <v>17</v>
      </c>
      <c r="M293" t="s">
        <v>35</v>
      </c>
      <c r="N293">
        <f>(Posts[[#This Row],[Likes]]+Posts[[#This Row],[Shares]]+Posts[[#This Row],[Comments]])/Posts[[#This Row],[Impressions]]</f>
        <v>7.1501685934489398E-2</v>
      </c>
    </row>
    <row r="294" spans="1:14" x14ac:dyDescent="0.2">
      <c r="A294" t="s">
        <v>190</v>
      </c>
      <c r="B294" t="s">
        <v>14</v>
      </c>
      <c r="C294" s="1">
        <v>45771</v>
      </c>
      <c r="D294" t="s">
        <v>15</v>
      </c>
      <c r="E294" t="s">
        <v>16</v>
      </c>
      <c r="F294">
        <v>3731</v>
      </c>
      <c r="G294">
        <v>115</v>
      </c>
      <c r="H294">
        <v>135</v>
      </c>
      <c r="I294">
        <v>55965</v>
      </c>
      <c r="J294">
        <v>55436</v>
      </c>
      <c r="K294">
        <v>103</v>
      </c>
      <c r="L294" t="s">
        <v>23</v>
      </c>
      <c r="M294" t="s">
        <v>18</v>
      </c>
      <c r="N294">
        <f>(Posts[[#This Row],[Likes]]+Posts[[#This Row],[Shares]]+Posts[[#This Row],[Comments]])/Posts[[#This Row],[Impressions]]</f>
        <v>7.1133744304476013E-2</v>
      </c>
    </row>
    <row r="295" spans="1:14" x14ac:dyDescent="0.2">
      <c r="A295" t="s">
        <v>146</v>
      </c>
      <c r="B295" t="s">
        <v>31</v>
      </c>
      <c r="C295" s="1">
        <v>45446</v>
      </c>
      <c r="D295" t="s">
        <v>44</v>
      </c>
      <c r="E295" t="s">
        <v>137</v>
      </c>
      <c r="F295">
        <v>3861</v>
      </c>
      <c r="G295">
        <v>960</v>
      </c>
      <c r="H295">
        <v>101</v>
      </c>
      <c r="I295">
        <v>69498</v>
      </c>
      <c r="J295">
        <v>68817</v>
      </c>
      <c r="K295">
        <v>297</v>
      </c>
      <c r="L295" t="s">
        <v>23</v>
      </c>
      <c r="M295" t="s">
        <v>35</v>
      </c>
      <c r="N295">
        <f>(Posts[[#This Row],[Likes]]+Posts[[#This Row],[Shares]]+Posts[[#This Row],[Comments]])/Posts[[#This Row],[Impressions]]</f>
        <v>7.0822181933293038E-2</v>
      </c>
    </row>
    <row r="296" spans="1:14" x14ac:dyDescent="0.2">
      <c r="A296" t="s">
        <v>84</v>
      </c>
      <c r="B296" t="s">
        <v>38</v>
      </c>
      <c r="C296" s="1">
        <v>45742</v>
      </c>
      <c r="D296" t="s">
        <v>21</v>
      </c>
      <c r="E296" t="s">
        <v>47</v>
      </c>
      <c r="F296">
        <v>1652</v>
      </c>
      <c r="G296">
        <v>89</v>
      </c>
      <c r="H296">
        <v>357</v>
      </c>
      <c r="I296">
        <v>29736</v>
      </c>
      <c r="J296">
        <v>28771</v>
      </c>
      <c r="K296">
        <v>215</v>
      </c>
      <c r="L296" t="s">
        <v>23</v>
      </c>
      <c r="M296" t="s">
        <v>29</v>
      </c>
      <c r="N296">
        <f>(Posts[[#This Row],[Likes]]+Posts[[#This Row],[Shares]]+Posts[[#This Row],[Comments]])/Posts[[#This Row],[Impressions]]</f>
        <v>7.055421038471886E-2</v>
      </c>
    </row>
    <row r="297" spans="1:14" x14ac:dyDescent="0.2">
      <c r="A297" t="s">
        <v>41</v>
      </c>
      <c r="B297" t="s">
        <v>14</v>
      </c>
      <c r="C297" s="1">
        <v>45467</v>
      </c>
      <c r="D297" t="s">
        <v>39</v>
      </c>
      <c r="E297" t="s">
        <v>42</v>
      </c>
      <c r="F297">
        <v>3860</v>
      </c>
      <c r="G297">
        <v>201</v>
      </c>
      <c r="H297">
        <v>279</v>
      </c>
      <c r="I297">
        <v>61760</v>
      </c>
      <c r="J297">
        <v>61660</v>
      </c>
      <c r="K297">
        <v>235</v>
      </c>
      <c r="L297" t="s">
        <v>23</v>
      </c>
      <c r="M297" t="s">
        <v>24</v>
      </c>
      <c r="N297">
        <f>(Posts[[#This Row],[Likes]]+Posts[[#This Row],[Shares]]+Posts[[#This Row],[Comments]])/Posts[[#This Row],[Impressions]]</f>
        <v>7.0272020725388601E-2</v>
      </c>
    </row>
    <row r="298" spans="1:14" x14ac:dyDescent="0.2">
      <c r="A298" t="s">
        <v>199</v>
      </c>
      <c r="B298" t="s">
        <v>27</v>
      </c>
      <c r="C298" s="1">
        <v>45741</v>
      </c>
      <c r="D298" t="s">
        <v>32</v>
      </c>
      <c r="E298" t="s">
        <v>104</v>
      </c>
      <c r="F298">
        <v>2070</v>
      </c>
      <c r="G298">
        <v>275</v>
      </c>
      <c r="H298">
        <v>386</v>
      </c>
      <c r="I298">
        <v>39330</v>
      </c>
      <c r="J298">
        <v>38627</v>
      </c>
      <c r="K298">
        <v>114</v>
      </c>
      <c r="L298" t="s">
        <v>17</v>
      </c>
      <c r="M298" t="s">
        <v>35</v>
      </c>
      <c r="N298">
        <f>(Posts[[#This Row],[Likes]]+Posts[[#This Row],[Shares]]+Posts[[#This Row],[Comments]])/Posts[[#This Row],[Impressions]]</f>
        <v>6.9438087973557078E-2</v>
      </c>
    </row>
    <row r="299" spans="1:14" x14ac:dyDescent="0.2">
      <c r="A299" t="s">
        <v>183</v>
      </c>
      <c r="B299" t="s">
        <v>38</v>
      </c>
      <c r="C299" s="1">
        <v>45684</v>
      </c>
      <c r="D299" t="s">
        <v>15</v>
      </c>
      <c r="E299" t="s">
        <v>52</v>
      </c>
      <c r="F299">
        <v>3452</v>
      </c>
      <c r="G299">
        <v>652</v>
      </c>
      <c r="H299">
        <v>442</v>
      </c>
      <c r="I299">
        <v>65588</v>
      </c>
      <c r="J299">
        <v>65049</v>
      </c>
      <c r="K299">
        <v>158</v>
      </c>
      <c r="L299" t="s">
        <v>17</v>
      </c>
      <c r="M299" t="s">
        <v>29</v>
      </c>
      <c r="N299">
        <f>(Posts[[#This Row],[Likes]]+Posts[[#This Row],[Shares]]+Posts[[#This Row],[Comments]])/Posts[[#This Row],[Impressions]]</f>
        <v>6.9311459413307311E-2</v>
      </c>
    </row>
    <row r="300" spans="1:14" x14ac:dyDescent="0.2">
      <c r="A300" t="s">
        <v>227</v>
      </c>
      <c r="B300" t="s">
        <v>14</v>
      </c>
      <c r="C300" s="1">
        <v>45775</v>
      </c>
      <c r="D300" t="s">
        <v>21</v>
      </c>
      <c r="E300" t="s">
        <v>22</v>
      </c>
      <c r="F300">
        <v>3577</v>
      </c>
      <c r="G300">
        <v>596</v>
      </c>
      <c r="H300">
        <v>493</v>
      </c>
      <c r="I300">
        <v>67963</v>
      </c>
      <c r="J300">
        <v>67839</v>
      </c>
      <c r="K300">
        <v>53</v>
      </c>
      <c r="L300" t="s">
        <v>23</v>
      </c>
      <c r="M300" t="s">
        <v>29</v>
      </c>
      <c r="N300">
        <f>(Posts[[#This Row],[Likes]]+Posts[[#This Row],[Shares]]+Posts[[#This Row],[Comments]])/Posts[[#This Row],[Impressions]]</f>
        <v>6.8655003457763777E-2</v>
      </c>
    </row>
    <row r="301" spans="1:14" x14ac:dyDescent="0.2">
      <c r="A301" t="s">
        <v>151</v>
      </c>
      <c r="B301" t="s">
        <v>31</v>
      </c>
      <c r="C301" s="1">
        <v>45604</v>
      </c>
      <c r="D301" t="s">
        <v>21</v>
      </c>
      <c r="E301" t="s">
        <v>81</v>
      </c>
      <c r="F301">
        <v>3182</v>
      </c>
      <c r="G301">
        <v>559</v>
      </c>
      <c r="H301">
        <v>160</v>
      </c>
      <c r="I301">
        <v>57276</v>
      </c>
      <c r="J301">
        <v>56890</v>
      </c>
      <c r="K301">
        <v>163</v>
      </c>
      <c r="L301" t="s">
        <v>17</v>
      </c>
      <c r="M301" t="s">
        <v>35</v>
      </c>
      <c r="N301">
        <f>(Posts[[#This Row],[Likes]]+Posts[[#This Row],[Shares]]+Posts[[#This Row],[Comments]])/Posts[[#This Row],[Impressions]]</f>
        <v>6.8108806480899509E-2</v>
      </c>
    </row>
    <row r="302" spans="1:14" x14ac:dyDescent="0.2">
      <c r="A302" t="s">
        <v>345</v>
      </c>
      <c r="B302" t="s">
        <v>27</v>
      </c>
      <c r="C302" s="1">
        <v>45764</v>
      </c>
      <c r="D302" t="s">
        <v>39</v>
      </c>
      <c r="E302" t="s">
        <v>54</v>
      </c>
      <c r="F302">
        <v>4780</v>
      </c>
      <c r="G302">
        <v>691</v>
      </c>
      <c r="H302">
        <v>380</v>
      </c>
      <c r="I302">
        <v>86040</v>
      </c>
      <c r="J302">
        <v>85743</v>
      </c>
      <c r="K302">
        <v>262</v>
      </c>
      <c r="L302" t="s">
        <v>17</v>
      </c>
      <c r="M302" t="s">
        <v>29</v>
      </c>
      <c r="N302">
        <f>(Posts[[#This Row],[Likes]]+Posts[[#This Row],[Shares]]+Posts[[#This Row],[Comments]])/Posts[[#This Row],[Impressions]]</f>
        <v>6.800325430032543E-2</v>
      </c>
    </row>
    <row r="303" spans="1:14" x14ac:dyDescent="0.2">
      <c r="A303" t="s">
        <v>294</v>
      </c>
      <c r="B303" t="s">
        <v>31</v>
      </c>
      <c r="C303" s="1">
        <v>45587</v>
      </c>
      <c r="D303" t="s">
        <v>32</v>
      </c>
      <c r="E303" t="s">
        <v>33</v>
      </c>
      <c r="F303">
        <v>3770</v>
      </c>
      <c r="G303">
        <v>917</v>
      </c>
      <c r="H303">
        <v>129</v>
      </c>
      <c r="I303">
        <v>71630</v>
      </c>
      <c r="J303">
        <v>71322</v>
      </c>
      <c r="K303">
        <v>76</v>
      </c>
      <c r="L303" t="s">
        <v>17</v>
      </c>
      <c r="M303" t="s">
        <v>18</v>
      </c>
      <c r="N303">
        <f>(Posts[[#This Row],[Likes]]+Posts[[#This Row],[Shares]]+Posts[[#This Row],[Comments]])/Posts[[#This Row],[Impressions]]</f>
        <v>6.7234398994834563E-2</v>
      </c>
    </row>
    <row r="304" spans="1:14" x14ac:dyDescent="0.2">
      <c r="A304" t="s">
        <v>327</v>
      </c>
      <c r="B304" t="s">
        <v>27</v>
      </c>
      <c r="C304" s="1">
        <v>45672</v>
      </c>
      <c r="D304" t="s">
        <v>15</v>
      </c>
      <c r="E304" t="s">
        <v>28</v>
      </c>
      <c r="F304">
        <v>3774</v>
      </c>
      <c r="G304">
        <v>239</v>
      </c>
      <c r="H304">
        <v>39</v>
      </c>
      <c r="I304">
        <v>60384</v>
      </c>
      <c r="J304">
        <v>59490</v>
      </c>
      <c r="K304">
        <v>241</v>
      </c>
      <c r="L304" t="s">
        <v>23</v>
      </c>
      <c r="M304" t="s">
        <v>29</v>
      </c>
      <c r="N304">
        <f>(Posts[[#This Row],[Likes]]+Posts[[#This Row],[Shares]]+Posts[[#This Row],[Comments]])/Posts[[#This Row],[Impressions]]</f>
        <v>6.7103868574456813E-2</v>
      </c>
    </row>
    <row r="305" spans="1:14" x14ac:dyDescent="0.2">
      <c r="A305" t="s">
        <v>36</v>
      </c>
      <c r="B305" t="s">
        <v>27</v>
      </c>
      <c r="C305" s="1">
        <v>45469</v>
      </c>
      <c r="D305" t="s">
        <v>15</v>
      </c>
      <c r="E305" t="s">
        <v>28</v>
      </c>
      <c r="F305">
        <v>3557</v>
      </c>
      <c r="G305">
        <v>687</v>
      </c>
      <c r="H305">
        <v>424</v>
      </c>
      <c r="I305">
        <v>71140</v>
      </c>
      <c r="J305">
        <v>70701</v>
      </c>
      <c r="K305">
        <v>224</v>
      </c>
      <c r="L305" t="s">
        <v>34</v>
      </c>
      <c r="M305" t="s">
        <v>18</v>
      </c>
      <c r="N305">
        <f>(Posts[[#This Row],[Likes]]+Posts[[#This Row],[Shares]]+Posts[[#This Row],[Comments]])/Posts[[#This Row],[Impressions]]</f>
        <v>6.5617093055946027E-2</v>
      </c>
    </row>
    <row r="306" spans="1:14" x14ac:dyDescent="0.2">
      <c r="A306" t="s">
        <v>36</v>
      </c>
      <c r="B306" t="s">
        <v>27</v>
      </c>
      <c r="C306" s="1">
        <v>45469</v>
      </c>
      <c r="D306" t="s">
        <v>15</v>
      </c>
      <c r="E306" t="s">
        <v>28</v>
      </c>
      <c r="F306">
        <v>3557</v>
      </c>
      <c r="G306">
        <v>687</v>
      </c>
      <c r="H306">
        <v>424</v>
      </c>
      <c r="I306">
        <v>71140</v>
      </c>
      <c r="J306">
        <v>70701</v>
      </c>
      <c r="K306">
        <v>224</v>
      </c>
      <c r="L306" t="s">
        <v>23</v>
      </c>
      <c r="M306" t="s">
        <v>18</v>
      </c>
      <c r="N306">
        <f>(Posts[[#This Row],[Likes]]+Posts[[#This Row],[Shares]]+Posts[[#This Row],[Comments]])/Posts[[#This Row],[Impressions]]</f>
        <v>6.5617093055946027E-2</v>
      </c>
    </row>
    <row r="307" spans="1:14" x14ac:dyDescent="0.2">
      <c r="A307" t="s">
        <v>142</v>
      </c>
      <c r="B307" t="s">
        <v>27</v>
      </c>
      <c r="C307" s="1">
        <v>45684</v>
      </c>
      <c r="D307" t="s">
        <v>21</v>
      </c>
      <c r="E307" t="s">
        <v>76</v>
      </c>
      <c r="F307">
        <v>3428</v>
      </c>
      <c r="G307">
        <v>305</v>
      </c>
      <c r="H307">
        <v>85</v>
      </c>
      <c r="I307">
        <v>58276</v>
      </c>
      <c r="J307">
        <v>58052</v>
      </c>
      <c r="K307">
        <v>242</v>
      </c>
      <c r="L307" t="s">
        <v>34</v>
      </c>
      <c r="M307" t="s">
        <v>35</v>
      </c>
      <c r="N307">
        <f>(Posts[[#This Row],[Likes]]+Posts[[#This Row],[Shares]]+Posts[[#This Row],[Comments]])/Posts[[#This Row],[Impressions]]</f>
        <v>6.5515821264328367E-2</v>
      </c>
    </row>
    <row r="308" spans="1:14" x14ac:dyDescent="0.2">
      <c r="A308" t="s">
        <v>142</v>
      </c>
      <c r="B308" t="s">
        <v>27</v>
      </c>
      <c r="C308" s="1">
        <v>45684</v>
      </c>
      <c r="D308" t="s">
        <v>21</v>
      </c>
      <c r="E308" t="s">
        <v>76</v>
      </c>
      <c r="F308">
        <v>3428</v>
      </c>
      <c r="G308">
        <v>305</v>
      </c>
      <c r="H308">
        <v>85</v>
      </c>
      <c r="I308">
        <v>58276</v>
      </c>
      <c r="J308">
        <v>58052</v>
      </c>
      <c r="K308">
        <v>242</v>
      </c>
      <c r="L308" t="s">
        <v>25</v>
      </c>
      <c r="M308" t="s">
        <v>35</v>
      </c>
      <c r="N308">
        <f>(Posts[[#This Row],[Likes]]+Posts[[#This Row],[Shares]]+Posts[[#This Row],[Comments]])/Posts[[#This Row],[Impressions]]</f>
        <v>6.5515821264328367E-2</v>
      </c>
    </row>
    <row r="309" spans="1:14" x14ac:dyDescent="0.2">
      <c r="A309" t="s">
        <v>201</v>
      </c>
      <c r="B309" t="s">
        <v>27</v>
      </c>
      <c r="C309" s="1">
        <v>45593</v>
      </c>
      <c r="D309" t="s">
        <v>32</v>
      </c>
      <c r="E309" t="s">
        <v>104</v>
      </c>
      <c r="F309">
        <v>4929</v>
      </c>
      <c r="G309">
        <v>749</v>
      </c>
      <c r="H309">
        <v>452</v>
      </c>
      <c r="I309">
        <v>93651</v>
      </c>
      <c r="J309">
        <v>92810</v>
      </c>
      <c r="K309">
        <v>66</v>
      </c>
      <c r="L309" t="s">
        <v>34</v>
      </c>
      <c r="M309" t="s">
        <v>35</v>
      </c>
      <c r="N309">
        <f>(Posts[[#This Row],[Likes]]+Posts[[#This Row],[Shares]]+Posts[[#This Row],[Comments]])/Posts[[#This Row],[Impressions]]</f>
        <v>6.5455787978772245E-2</v>
      </c>
    </row>
    <row r="310" spans="1:14" x14ac:dyDescent="0.2">
      <c r="A310" t="s">
        <v>254</v>
      </c>
      <c r="B310" t="s">
        <v>14</v>
      </c>
      <c r="C310" s="1">
        <v>45587</v>
      </c>
      <c r="D310" t="s">
        <v>15</v>
      </c>
      <c r="E310" t="s">
        <v>16</v>
      </c>
      <c r="F310">
        <v>4782</v>
      </c>
      <c r="G310">
        <v>721</v>
      </c>
      <c r="H310">
        <v>82</v>
      </c>
      <c r="I310">
        <v>86076</v>
      </c>
      <c r="J310">
        <v>85339</v>
      </c>
      <c r="K310">
        <v>19</v>
      </c>
      <c r="L310" t="s">
        <v>34</v>
      </c>
      <c r="M310" t="s">
        <v>18</v>
      </c>
      <c r="N310">
        <f>(Posts[[#This Row],[Likes]]+Posts[[#This Row],[Shares]]+Posts[[#This Row],[Comments]])/Posts[[#This Row],[Impressions]]</f>
        <v>6.4884520656164318E-2</v>
      </c>
    </row>
    <row r="311" spans="1:14" x14ac:dyDescent="0.2">
      <c r="A311" t="s">
        <v>191</v>
      </c>
      <c r="B311" t="s">
        <v>38</v>
      </c>
      <c r="C311" s="1">
        <v>45624</v>
      </c>
      <c r="D311" t="s">
        <v>21</v>
      </c>
      <c r="E311" t="s">
        <v>47</v>
      </c>
      <c r="F311">
        <v>4213</v>
      </c>
      <c r="G311">
        <v>253</v>
      </c>
      <c r="H311">
        <v>434</v>
      </c>
      <c r="I311">
        <v>75834</v>
      </c>
      <c r="J311">
        <v>75437</v>
      </c>
      <c r="K311">
        <v>272</v>
      </c>
      <c r="L311" t="s">
        <v>17</v>
      </c>
      <c r="M311" t="s">
        <v>35</v>
      </c>
      <c r="N311">
        <f>(Posts[[#This Row],[Likes]]+Posts[[#This Row],[Shares]]+Posts[[#This Row],[Comments]])/Posts[[#This Row],[Impressions]]</f>
        <v>6.461481657304112E-2</v>
      </c>
    </row>
    <row r="312" spans="1:14" x14ac:dyDescent="0.2">
      <c r="A312" t="s">
        <v>127</v>
      </c>
      <c r="B312" t="s">
        <v>38</v>
      </c>
      <c r="C312" s="1">
        <v>45583</v>
      </c>
      <c r="D312" t="s">
        <v>32</v>
      </c>
      <c r="E312" t="s">
        <v>56</v>
      </c>
      <c r="F312">
        <v>4126</v>
      </c>
      <c r="G312">
        <v>426</v>
      </c>
      <c r="H312">
        <v>486</v>
      </c>
      <c r="I312">
        <v>78394</v>
      </c>
      <c r="J312">
        <v>77798</v>
      </c>
      <c r="K312">
        <v>88</v>
      </c>
      <c r="L312" t="s">
        <v>17</v>
      </c>
      <c r="M312" t="s">
        <v>35</v>
      </c>
      <c r="N312">
        <f>(Posts[[#This Row],[Likes]]+Posts[[#This Row],[Shares]]+Posts[[#This Row],[Comments]])/Posts[[#This Row],[Impressions]]</f>
        <v>6.4265122330790625E-2</v>
      </c>
    </row>
    <row r="313" spans="1:14" x14ac:dyDescent="0.2">
      <c r="A313" t="s">
        <v>324</v>
      </c>
      <c r="B313" t="s">
        <v>14</v>
      </c>
      <c r="C313" s="1">
        <v>45569</v>
      </c>
      <c r="D313" t="s">
        <v>15</v>
      </c>
      <c r="E313" t="s">
        <v>16</v>
      </c>
      <c r="F313">
        <v>4187</v>
      </c>
      <c r="G313">
        <v>66</v>
      </c>
      <c r="H313">
        <v>31</v>
      </c>
      <c r="I313">
        <v>66992</v>
      </c>
      <c r="J313">
        <v>66614</v>
      </c>
      <c r="K313">
        <v>62</v>
      </c>
      <c r="L313" t="s">
        <v>17</v>
      </c>
      <c r="M313" t="s">
        <v>57</v>
      </c>
      <c r="N313">
        <f>(Posts[[#This Row],[Likes]]+Posts[[#This Row],[Shares]]+Posts[[#This Row],[Comments]])/Posts[[#This Row],[Impressions]]</f>
        <v>6.3947934081681396E-2</v>
      </c>
    </row>
    <row r="314" spans="1:14" x14ac:dyDescent="0.2">
      <c r="A314" t="s">
        <v>67</v>
      </c>
      <c r="B314" t="s">
        <v>31</v>
      </c>
      <c r="C314" s="1">
        <v>45544</v>
      </c>
      <c r="D314" t="s">
        <v>39</v>
      </c>
      <c r="E314" t="s">
        <v>68</v>
      </c>
      <c r="F314">
        <v>4054</v>
      </c>
      <c r="G314">
        <v>488</v>
      </c>
      <c r="H314">
        <v>373</v>
      </c>
      <c r="I314">
        <v>77026</v>
      </c>
      <c r="J314">
        <v>76881</v>
      </c>
      <c r="K314">
        <v>25</v>
      </c>
      <c r="L314" t="s">
        <v>23</v>
      </c>
      <c r="M314" t="s">
        <v>18</v>
      </c>
      <c r="N314">
        <f>(Posts[[#This Row],[Likes]]+Posts[[#This Row],[Shares]]+Posts[[#This Row],[Comments]])/Posts[[#This Row],[Impressions]]</f>
        <v>6.3809622724794221E-2</v>
      </c>
    </row>
    <row r="315" spans="1:14" x14ac:dyDescent="0.2">
      <c r="A315" t="s">
        <v>121</v>
      </c>
      <c r="B315" t="s">
        <v>38</v>
      </c>
      <c r="C315" s="1">
        <v>45745</v>
      </c>
      <c r="D315" t="s">
        <v>39</v>
      </c>
      <c r="E315" t="s">
        <v>40</v>
      </c>
      <c r="F315">
        <v>4712</v>
      </c>
      <c r="G315">
        <v>568</v>
      </c>
      <c r="H315">
        <v>127</v>
      </c>
      <c r="I315">
        <v>84816</v>
      </c>
      <c r="J315">
        <v>84691</v>
      </c>
      <c r="K315">
        <v>100</v>
      </c>
      <c r="L315" t="s">
        <v>34</v>
      </c>
      <c r="M315" t="s">
        <v>29</v>
      </c>
      <c r="N315">
        <f>(Posts[[#This Row],[Likes]]+Posts[[#This Row],[Shares]]+Posts[[#This Row],[Comments]])/Posts[[#This Row],[Impressions]]</f>
        <v>6.3749764195434822E-2</v>
      </c>
    </row>
    <row r="316" spans="1:14" x14ac:dyDescent="0.2">
      <c r="A316" t="s">
        <v>207</v>
      </c>
      <c r="B316" t="s">
        <v>27</v>
      </c>
      <c r="C316" s="1">
        <v>45526</v>
      </c>
      <c r="D316" t="s">
        <v>39</v>
      </c>
      <c r="E316" t="s">
        <v>54</v>
      </c>
      <c r="F316">
        <v>4295</v>
      </c>
      <c r="G316">
        <v>853</v>
      </c>
      <c r="H316">
        <v>325</v>
      </c>
      <c r="I316">
        <v>85900</v>
      </c>
      <c r="J316">
        <v>85788</v>
      </c>
      <c r="K316">
        <v>290</v>
      </c>
      <c r="L316" t="s">
        <v>23</v>
      </c>
      <c r="M316" t="s">
        <v>35</v>
      </c>
      <c r="N316">
        <f>(Posts[[#This Row],[Likes]]+Posts[[#This Row],[Shares]]+Posts[[#This Row],[Comments]])/Posts[[#This Row],[Impressions]]</f>
        <v>6.3713620488940623E-2</v>
      </c>
    </row>
    <row r="317" spans="1:14" x14ac:dyDescent="0.2">
      <c r="A317" t="s">
        <v>338</v>
      </c>
      <c r="B317" t="s">
        <v>27</v>
      </c>
      <c r="C317" s="1">
        <v>45738</v>
      </c>
      <c r="D317" t="s">
        <v>44</v>
      </c>
      <c r="E317" t="s">
        <v>45</v>
      </c>
      <c r="F317">
        <v>3166</v>
      </c>
      <c r="G317">
        <v>90</v>
      </c>
      <c r="H317">
        <v>341</v>
      </c>
      <c r="I317">
        <v>56988</v>
      </c>
      <c r="J317">
        <v>56125</v>
      </c>
      <c r="K317">
        <v>135</v>
      </c>
      <c r="L317" t="s">
        <v>34</v>
      </c>
      <c r="M317" t="s">
        <v>24</v>
      </c>
      <c r="N317">
        <f>(Posts[[#This Row],[Likes]]+Posts[[#This Row],[Shares]]+Posts[[#This Row],[Comments]])/Posts[[#This Row],[Impressions]]</f>
        <v>6.3118551273952411E-2</v>
      </c>
    </row>
    <row r="318" spans="1:14" x14ac:dyDescent="0.2">
      <c r="A318" t="s">
        <v>274</v>
      </c>
      <c r="B318" t="s">
        <v>38</v>
      </c>
      <c r="C318" s="1">
        <v>45629</v>
      </c>
      <c r="D318" t="s">
        <v>44</v>
      </c>
      <c r="E318" t="s">
        <v>49</v>
      </c>
      <c r="F318">
        <v>4606</v>
      </c>
      <c r="G318">
        <v>931</v>
      </c>
      <c r="H318">
        <v>230</v>
      </c>
      <c r="I318">
        <v>92120</v>
      </c>
      <c r="J318">
        <v>91440</v>
      </c>
      <c r="K318">
        <v>56</v>
      </c>
      <c r="L318" t="s">
        <v>23</v>
      </c>
      <c r="M318" t="s">
        <v>57</v>
      </c>
      <c r="N318">
        <f>(Posts[[#This Row],[Likes]]+Posts[[#This Row],[Shares]]+Posts[[#This Row],[Comments]])/Posts[[#This Row],[Impressions]]</f>
        <v>6.2603126356925748E-2</v>
      </c>
    </row>
    <row r="319" spans="1:14" x14ac:dyDescent="0.2">
      <c r="A319" t="s">
        <v>257</v>
      </c>
      <c r="B319" t="s">
        <v>38</v>
      </c>
      <c r="C319" s="1">
        <v>45754</v>
      </c>
      <c r="D319" t="s">
        <v>15</v>
      </c>
      <c r="E319" t="s">
        <v>52</v>
      </c>
      <c r="F319">
        <v>3718</v>
      </c>
      <c r="G319">
        <v>385</v>
      </c>
      <c r="H319">
        <v>310</v>
      </c>
      <c r="I319">
        <v>70642</v>
      </c>
      <c r="J319">
        <v>69749</v>
      </c>
      <c r="K319">
        <v>233</v>
      </c>
      <c r="L319" t="s">
        <v>23</v>
      </c>
      <c r="M319" t="s">
        <v>24</v>
      </c>
      <c r="N319">
        <f>(Posts[[#This Row],[Likes]]+Posts[[#This Row],[Shares]]+Posts[[#This Row],[Comments]])/Posts[[#This Row],[Impressions]]</f>
        <v>6.246991874522239E-2</v>
      </c>
    </row>
    <row r="320" spans="1:14" x14ac:dyDescent="0.2">
      <c r="A320" t="s">
        <v>163</v>
      </c>
      <c r="B320" t="s">
        <v>27</v>
      </c>
      <c r="C320" s="1">
        <v>45464</v>
      </c>
      <c r="D320" t="s">
        <v>44</v>
      </c>
      <c r="E320" t="s">
        <v>45</v>
      </c>
      <c r="F320">
        <v>4832</v>
      </c>
      <c r="G320">
        <v>893</v>
      </c>
      <c r="H320">
        <v>10</v>
      </c>
      <c r="I320">
        <v>91808</v>
      </c>
      <c r="J320">
        <v>91296</v>
      </c>
      <c r="K320">
        <v>182</v>
      </c>
      <c r="L320" t="s">
        <v>23</v>
      </c>
      <c r="M320" t="s">
        <v>57</v>
      </c>
      <c r="N320">
        <f>(Posts[[#This Row],[Likes]]+Posts[[#This Row],[Shares]]+Posts[[#This Row],[Comments]])/Posts[[#This Row],[Impressions]]</f>
        <v>6.2467323109097243E-2</v>
      </c>
    </row>
    <row r="321" spans="1:14" x14ac:dyDescent="0.2">
      <c r="A321" t="s">
        <v>171</v>
      </c>
      <c r="B321" t="s">
        <v>14</v>
      </c>
      <c r="C321" s="1">
        <v>45788</v>
      </c>
      <c r="D321" t="s">
        <v>44</v>
      </c>
      <c r="E321" t="s">
        <v>91</v>
      </c>
      <c r="F321">
        <v>2493</v>
      </c>
      <c r="G321">
        <v>97</v>
      </c>
      <c r="H321">
        <v>44</v>
      </c>
      <c r="I321">
        <v>42381</v>
      </c>
      <c r="J321">
        <v>41991</v>
      </c>
      <c r="K321">
        <v>242</v>
      </c>
      <c r="L321" t="s">
        <v>23</v>
      </c>
      <c r="M321" t="s">
        <v>35</v>
      </c>
      <c r="N321">
        <f>(Posts[[#This Row],[Likes]]+Posts[[#This Row],[Shares]]+Posts[[#This Row],[Comments]])/Posts[[#This Row],[Impressions]]</f>
        <v>6.2150491965739366E-2</v>
      </c>
    </row>
    <row r="322" spans="1:14" x14ac:dyDescent="0.2">
      <c r="A322" t="s">
        <v>171</v>
      </c>
      <c r="B322" t="s">
        <v>14</v>
      </c>
      <c r="C322" s="1">
        <v>45788</v>
      </c>
      <c r="D322" t="s">
        <v>44</v>
      </c>
      <c r="E322" t="s">
        <v>91</v>
      </c>
      <c r="F322">
        <v>2493</v>
      </c>
      <c r="G322">
        <v>97</v>
      </c>
      <c r="H322">
        <v>44</v>
      </c>
      <c r="I322">
        <v>42381</v>
      </c>
      <c r="J322">
        <v>41991</v>
      </c>
      <c r="K322">
        <v>242</v>
      </c>
      <c r="L322" t="s">
        <v>19</v>
      </c>
      <c r="M322" t="s">
        <v>35</v>
      </c>
      <c r="N322">
        <f>(Posts[[#This Row],[Likes]]+Posts[[#This Row],[Shares]]+Posts[[#This Row],[Comments]])/Posts[[#This Row],[Impressions]]</f>
        <v>6.2150491965739366E-2</v>
      </c>
    </row>
    <row r="323" spans="1:14" x14ac:dyDescent="0.2">
      <c r="A323" t="s">
        <v>280</v>
      </c>
      <c r="B323" t="s">
        <v>14</v>
      </c>
      <c r="C323" s="1">
        <v>45608</v>
      </c>
      <c r="D323" t="s">
        <v>44</v>
      </c>
      <c r="E323" t="s">
        <v>91</v>
      </c>
      <c r="F323">
        <v>3338</v>
      </c>
      <c r="G323">
        <v>277</v>
      </c>
      <c r="H323">
        <v>118</v>
      </c>
      <c r="I323">
        <v>60084</v>
      </c>
      <c r="J323">
        <v>59842</v>
      </c>
      <c r="K323">
        <v>252</v>
      </c>
      <c r="L323" t="s">
        <v>23</v>
      </c>
      <c r="M323" t="s">
        <v>57</v>
      </c>
      <c r="N323">
        <f>(Posts[[#This Row],[Likes]]+Posts[[#This Row],[Shares]]+Posts[[#This Row],[Comments]])/Posts[[#This Row],[Impressions]]</f>
        <v>6.2129685107516146E-2</v>
      </c>
    </row>
    <row r="324" spans="1:14" x14ac:dyDescent="0.2">
      <c r="A324" t="s">
        <v>336</v>
      </c>
      <c r="B324" t="s">
        <v>27</v>
      </c>
      <c r="C324" s="1">
        <v>45537</v>
      </c>
      <c r="D324" t="s">
        <v>44</v>
      </c>
      <c r="E324" t="s">
        <v>45</v>
      </c>
      <c r="F324">
        <v>4905</v>
      </c>
      <c r="G324">
        <v>845</v>
      </c>
      <c r="H324">
        <v>129</v>
      </c>
      <c r="I324">
        <v>98100</v>
      </c>
      <c r="J324">
        <v>97772</v>
      </c>
      <c r="K324">
        <v>279</v>
      </c>
      <c r="L324" t="s">
        <v>23</v>
      </c>
      <c r="M324" t="s">
        <v>24</v>
      </c>
      <c r="N324">
        <f>(Posts[[#This Row],[Likes]]+Posts[[#This Row],[Shares]]+Posts[[#This Row],[Comments]])/Posts[[#This Row],[Impressions]]</f>
        <v>5.9928644240570844E-2</v>
      </c>
    </row>
    <row r="325" spans="1:14" x14ac:dyDescent="0.2">
      <c r="A325" t="s">
        <v>73</v>
      </c>
      <c r="B325" t="s">
        <v>14</v>
      </c>
      <c r="C325" s="1">
        <v>45757</v>
      </c>
      <c r="D325" t="s">
        <v>39</v>
      </c>
      <c r="E325" t="s">
        <v>42</v>
      </c>
      <c r="F325">
        <v>3128</v>
      </c>
      <c r="G325">
        <v>211</v>
      </c>
      <c r="H325">
        <v>197</v>
      </c>
      <c r="I325">
        <v>59432</v>
      </c>
      <c r="J325">
        <v>59182</v>
      </c>
      <c r="K325">
        <v>238</v>
      </c>
      <c r="L325" t="s">
        <v>34</v>
      </c>
      <c r="M325" t="s">
        <v>57</v>
      </c>
      <c r="N325">
        <f>(Posts[[#This Row],[Likes]]+Posts[[#This Row],[Shares]]+Posts[[#This Row],[Comments]])/Posts[[#This Row],[Impressions]]</f>
        <v>5.9496567505720827E-2</v>
      </c>
    </row>
    <row r="326" spans="1:14" x14ac:dyDescent="0.2">
      <c r="A326" t="s">
        <v>58</v>
      </c>
      <c r="B326" t="s">
        <v>38</v>
      </c>
      <c r="C326" s="1">
        <v>45589</v>
      </c>
      <c r="D326" t="s">
        <v>59</v>
      </c>
      <c r="E326" t="s">
        <v>60</v>
      </c>
      <c r="F326">
        <v>3888</v>
      </c>
      <c r="G326">
        <v>604</v>
      </c>
      <c r="H326">
        <v>128</v>
      </c>
      <c r="I326">
        <v>77760</v>
      </c>
      <c r="J326">
        <v>77167</v>
      </c>
      <c r="K326">
        <v>20</v>
      </c>
      <c r="L326" t="s">
        <v>17</v>
      </c>
      <c r="M326" t="s">
        <v>18</v>
      </c>
      <c r="N326">
        <f>(Posts[[#This Row],[Likes]]+Posts[[#This Row],[Shares]]+Posts[[#This Row],[Comments]])/Posts[[#This Row],[Impressions]]</f>
        <v>5.941358024691358E-2</v>
      </c>
    </row>
    <row r="327" spans="1:14" x14ac:dyDescent="0.2">
      <c r="A327" t="s">
        <v>353</v>
      </c>
      <c r="B327" t="s">
        <v>14</v>
      </c>
      <c r="C327" s="1">
        <v>45699</v>
      </c>
      <c r="D327" t="s">
        <v>59</v>
      </c>
      <c r="E327" t="s">
        <v>98</v>
      </c>
      <c r="F327">
        <v>3440</v>
      </c>
      <c r="G327">
        <v>13</v>
      </c>
      <c r="H327">
        <v>20</v>
      </c>
      <c r="I327">
        <v>58480</v>
      </c>
      <c r="J327">
        <v>58146</v>
      </c>
      <c r="K327">
        <v>210</v>
      </c>
      <c r="L327" t="s">
        <v>23</v>
      </c>
      <c r="M327" t="s">
        <v>35</v>
      </c>
      <c r="N327">
        <f>(Posts[[#This Row],[Likes]]+Posts[[#This Row],[Shares]]+Posts[[#This Row],[Comments]])/Posts[[#This Row],[Impressions]]</f>
        <v>5.9387824897400819E-2</v>
      </c>
    </row>
    <row r="328" spans="1:14" x14ac:dyDescent="0.2">
      <c r="A328" t="s">
        <v>353</v>
      </c>
      <c r="B328" t="s">
        <v>14</v>
      </c>
      <c r="C328" s="1">
        <v>45699</v>
      </c>
      <c r="D328" t="s">
        <v>59</v>
      </c>
      <c r="E328" t="s">
        <v>98</v>
      </c>
      <c r="F328">
        <v>3440</v>
      </c>
      <c r="G328">
        <v>13</v>
      </c>
      <c r="H328">
        <v>20</v>
      </c>
      <c r="I328">
        <v>58480</v>
      </c>
      <c r="J328">
        <v>58146</v>
      </c>
      <c r="K328">
        <v>210</v>
      </c>
      <c r="L328" t="s">
        <v>197</v>
      </c>
      <c r="M328" t="s">
        <v>35</v>
      </c>
      <c r="N328">
        <f>(Posts[[#This Row],[Likes]]+Posts[[#This Row],[Shares]]+Posts[[#This Row],[Comments]])/Posts[[#This Row],[Impressions]]</f>
        <v>5.9387824897400819E-2</v>
      </c>
    </row>
    <row r="329" spans="1:14" x14ac:dyDescent="0.2">
      <c r="A329" t="s">
        <v>355</v>
      </c>
      <c r="B329" t="s">
        <v>38</v>
      </c>
      <c r="C329" s="1">
        <v>45589</v>
      </c>
      <c r="D329" t="s">
        <v>44</v>
      </c>
      <c r="E329" t="s">
        <v>49</v>
      </c>
      <c r="F329">
        <v>4303</v>
      </c>
      <c r="G329">
        <v>451</v>
      </c>
      <c r="H329">
        <v>286</v>
      </c>
      <c r="I329">
        <v>86060</v>
      </c>
      <c r="J329">
        <v>85823</v>
      </c>
      <c r="K329">
        <v>14</v>
      </c>
      <c r="L329" t="s">
        <v>23</v>
      </c>
      <c r="M329" t="s">
        <v>29</v>
      </c>
      <c r="N329">
        <f>(Posts[[#This Row],[Likes]]+Posts[[#This Row],[Shares]]+Posts[[#This Row],[Comments]])/Posts[[#This Row],[Impressions]]</f>
        <v>5.8563792702765516E-2</v>
      </c>
    </row>
    <row r="330" spans="1:14" x14ac:dyDescent="0.2">
      <c r="A330" t="s">
        <v>273</v>
      </c>
      <c r="B330" t="s">
        <v>27</v>
      </c>
      <c r="C330" s="1">
        <v>45502</v>
      </c>
      <c r="D330" t="s">
        <v>32</v>
      </c>
      <c r="E330" t="s">
        <v>104</v>
      </c>
      <c r="F330">
        <v>1509</v>
      </c>
      <c r="G330">
        <v>88</v>
      </c>
      <c r="H330">
        <v>163</v>
      </c>
      <c r="I330">
        <v>30180</v>
      </c>
      <c r="J330">
        <v>29689</v>
      </c>
      <c r="K330">
        <v>119</v>
      </c>
      <c r="L330" t="s">
        <v>34</v>
      </c>
      <c r="M330" t="s">
        <v>24</v>
      </c>
      <c r="N330">
        <f>(Posts[[#This Row],[Likes]]+Posts[[#This Row],[Shares]]+Posts[[#This Row],[Comments]])/Posts[[#This Row],[Impressions]]</f>
        <v>5.8316766070245198E-2</v>
      </c>
    </row>
    <row r="331" spans="1:14" x14ac:dyDescent="0.2">
      <c r="A331" t="s">
        <v>340</v>
      </c>
      <c r="B331" t="s">
        <v>14</v>
      </c>
      <c r="C331" s="1">
        <v>45786</v>
      </c>
      <c r="D331" t="s">
        <v>15</v>
      </c>
      <c r="E331" t="s">
        <v>16</v>
      </c>
      <c r="F331">
        <v>3367</v>
      </c>
      <c r="G331">
        <v>302</v>
      </c>
      <c r="H331">
        <v>57</v>
      </c>
      <c r="I331">
        <v>63973</v>
      </c>
      <c r="J331">
        <v>63789</v>
      </c>
      <c r="K331">
        <v>157</v>
      </c>
      <c r="L331" t="s">
        <v>17</v>
      </c>
      <c r="M331" t="s">
        <v>24</v>
      </c>
      <c r="N331">
        <f>(Posts[[#This Row],[Likes]]+Posts[[#This Row],[Shares]]+Posts[[#This Row],[Comments]])/Posts[[#This Row],[Impressions]]</f>
        <v>5.8243321401216137E-2</v>
      </c>
    </row>
    <row r="332" spans="1:14" x14ac:dyDescent="0.2">
      <c r="A332" t="s">
        <v>313</v>
      </c>
      <c r="B332" t="s">
        <v>27</v>
      </c>
      <c r="C332" s="1">
        <v>45553</v>
      </c>
      <c r="D332" t="s">
        <v>39</v>
      </c>
      <c r="E332" t="s">
        <v>54</v>
      </c>
      <c r="F332">
        <v>2143</v>
      </c>
      <c r="G332">
        <v>12</v>
      </c>
      <c r="H332">
        <v>204</v>
      </c>
      <c r="I332">
        <v>40717</v>
      </c>
      <c r="J332">
        <v>40125</v>
      </c>
      <c r="K332">
        <v>248</v>
      </c>
      <c r="L332" t="s">
        <v>34</v>
      </c>
      <c r="M332" t="s">
        <v>24</v>
      </c>
      <c r="N332">
        <f>(Posts[[#This Row],[Likes]]+Posts[[#This Row],[Shares]]+Posts[[#This Row],[Comments]])/Posts[[#This Row],[Impressions]]</f>
        <v>5.7936488444630008E-2</v>
      </c>
    </row>
    <row r="333" spans="1:14" x14ac:dyDescent="0.2">
      <c r="A333" t="s">
        <v>79</v>
      </c>
      <c r="B333" t="s">
        <v>31</v>
      </c>
      <c r="C333" s="1">
        <v>45713</v>
      </c>
      <c r="D333" t="s">
        <v>59</v>
      </c>
      <c r="E333" t="s">
        <v>66</v>
      </c>
      <c r="F333">
        <v>3095</v>
      </c>
      <c r="G333">
        <v>39</v>
      </c>
      <c r="H333">
        <v>78</v>
      </c>
      <c r="I333">
        <v>55710</v>
      </c>
      <c r="J333">
        <v>54808</v>
      </c>
      <c r="K333">
        <v>93</v>
      </c>
      <c r="L333" t="s">
        <v>34</v>
      </c>
      <c r="M333" t="s">
        <v>57</v>
      </c>
      <c r="N333">
        <f>(Posts[[#This Row],[Likes]]+Posts[[#This Row],[Shares]]+Posts[[#This Row],[Comments]])/Posts[[#This Row],[Impressions]]</f>
        <v>5.7655717106444085E-2</v>
      </c>
    </row>
    <row r="334" spans="1:14" x14ac:dyDescent="0.2">
      <c r="A334" t="s">
        <v>260</v>
      </c>
      <c r="B334" t="s">
        <v>31</v>
      </c>
      <c r="C334" s="1">
        <v>45617</v>
      </c>
      <c r="D334" t="s">
        <v>39</v>
      </c>
      <c r="E334" t="s">
        <v>68</v>
      </c>
      <c r="F334">
        <v>3773</v>
      </c>
      <c r="G334">
        <v>299</v>
      </c>
      <c r="H334">
        <v>38</v>
      </c>
      <c r="I334">
        <v>71687</v>
      </c>
      <c r="J334">
        <v>71447</v>
      </c>
      <c r="K334">
        <v>286</v>
      </c>
      <c r="L334" t="s">
        <v>17</v>
      </c>
      <c r="M334" t="s">
        <v>18</v>
      </c>
      <c r="N334">
        <f>(Posts[[#This Row],[Likes]]+Posts[[#This Row],[Shares]]+Posts[[#This Row],[Comments]])/Posts[[#This Row],[Impressions]]</f>
        <v>5.7332570758993957E-2</v>
      </c>
    </row>
    <row r="335" spans="1:14" x14ac:dyDescent="0.2">
      <c r="A335" t="s">
        <v>282</v>
      </c>
      <c r="B335" t="s">
        <v>14</v>
      </c>
      <c r="C335" s="1">
        <v>45463</v>
      </c>
      <c r="D335" t="s">
        <v>39</v>
      </c>
      <c r="E335" t="s">
        <v>42</v>
      </c>
      <c r="F335">
        <v>4672</v>
      </c>
      <c r="G335">
        <v>325</v>
      </c>
      <c r="H335">
        <v>32</v>
      </c>
      <c r="I335">
        <v>88768</v>
      </c>
      <c r="J335">
        <v>87833</v>
      </c>
      <c r="K335">
        <v>118</v>
      </c>
      <c r="L335" t="s">
        <v>34</v>
      </c>
      <c r="M335" t="s">
        <v>57</v>
      </c>
      <c r="N335">
        <f>(Posts[[#This Row],[Likes]]+Posts[[#This Row],[Shares]]+Posts[[#This Row],[Comments]])/Posts[[#This Row],[Impressions]]</f>
        <v>5.6653298485940883E-2</v>
      </c>
    </row>
    <row r="336" spans="1:14" x14ac:dyDescent="0.2">
      <c r="A336" t="s">
        <v>202</v>
      </c>
      <c r="B336" t="s">
        <v>31</v>
      </c>
      <c r="C336" s="1">
        <v>45516</v>
      </c>
      <c r="D336" t="s">
        <v>39</v>
      </c>
      <c r="E336" t="s">
        <v>68</v>
      </c>
      <c r="F336">
        <v>1878</v>
      </c>
      <c r="G336">
        <v>62</v>
      </c>
      <c r="H336">
        <v>179</v>
      </c>
      <c r="I336">
        <v>37560</v>
      </c>
      <c r="J336">
        <v>36874</v>
      </c>
      <c r="K336">
        <v>142</v>
      </c>
      <c r="L336" t="s">
        <v>23</v>
      </c>
      <c r="M336" t="s">
        <v>35</v>
      </c>
      <c r="N336">
        <f>(Posts[[#This Row],[Likes]]+Posts[[#This Row],[Shares]]+Posts[[#This Row],[Comments]])/Posts[[#This Row],[Impressions]]</f>
        <v>5.6416400425985093E-2</v>
      </c>
    </row>
    <row r="337" spans="1:14" x14ac:dyDescent="0.2">
      <c r="A337" t="s">
        <v>247</v>
      </c>
      <c r="B337" t="s">
        <v>27</v>
      </c>
      <c r="C337" s="1">
        <v>45569</v>
      </c>
      <c r="D337" t="s">
        <v>21</v>
      </c>
      <c r="E337" t="s">
        <v>76</v>
      </c>
      <c r="F337">
        <v>1963</v>
      </c>
      <c r="G337">
        <v>213</v>
      </c>
      <c r="H337">
        <v>19</v>
      </c>
      <c r="I337">
        <v>39260</v>
      </c>
      <c r="J337">
        <v>38771</v>
      </c>
      <c r="K337">
        <v>145</v>
      </c>
      <c r="L337" t="s">
        <v>17</v>
      </c>
      <c r="M337" t="s">
        <v>57</v>
      </c>
      <c r="N337">
        <f>(Posts[[#This Row],[Likes]]+Posts[[#This Row],[Shares]]+Posts[[#This Row],[Comments]])/Posts[[#This Row],[Impressions]]</f>
        <v>5.5909322465613857E-2</v>
      </c>
    </row>
    <row r="338" spans="1:14" x14ac:dyDescent="0.2">
      <c r="A338" t="s">
        <v>26</v>
      </c>
      <c r="B338" t="s">
        <v>27</v>
      </c>
      <c r="C338" s="1">
        <v>45789</v>
      </c>
      <c r="D338" t="s">
        <v>15</v>
      </c>
      <c r="E338" t="s">
        <v>28</v>
      </c>
      <c r="F338">
        <v>2795</v>
      </c>
      <c r="G338">
        <v>105</v>
      </c>
      <c r="H338">
        <v>49</v>
      </c>
      <c r="I338">
        <v>53105</v>
      </c>
      <c r="J338">
        <v>52307</v>
      </c>
      <c r="K338">
        <v>204</v>
      </c>
      <c r="L338" t="s">
        <v>23</v>
      </c>
      <c r="M338" t="s">
        <v>29</v>
      </c>
      <c r="N338">
        <f>(Posts[[#This Row],[Likes]]+Posts[[#This Row],[Shares]]+Posts[[#This Row],[Comments]])/Posts[[#This Row],[Impressions]]</f>
        <v>5.5531494209584788E-2</v>
      </c>
    </row>
    <row r="339" spans="1:14" x14ac:dyDescent="0.2">
      <c r="A339" t="s">
        <v>233</v>
      </c>
      <c r="B339" t="s">
        <v>38</v>
      </c>
      <c r="C339" s="1">
        <v>45463</v>
      </c>
      <c r="D339" t="s">
        <v>59</v>
      </c>
      <c r="E339" t="s">
        <v>60</v>
      </c>
      <c r="F339">
        <v>3798</v>
      </c>
      <c r="G339">
        <v>31</v>
      </c>
      <c r="H339">
        <v>279</v>
      </c>
      <c r="I339">
        <v>75960</v>
      </c>
      <c r="J339">
        <v>75813</v>
      </c>
      <c r="K339">
        <v>266</v>
      </c>
      <c r="L339" t="s">
        <v>23</v>
      </c>
      <c r="M339" t="s">
        <v>18</v>
      </c>
      <c r="N339">
        <f>(Posts[[#This Row],[Likes]]+Posts[[#This Row],[Shares]]+Posts[[#This Row],[Comments]])/Posts[[#This Row],[Impressions]]</f>
        <v>5.4081095313322801E-2</v>
      </c>
    </row>
    <row r="340" spans="1:14" x14ac:dyDescent="0.2">
      <c r="A340" t="s">
        <v>117</v>
      </c>
      <c r="B340" t="s">
        <v>14</v>
      </c>
      <c r="C340" s="1">
        <v>45504</v>
      </c>
      <c r="D340" t="s">
        <v>39</v>
      </c>
      <c r="E340" t="s">
        <v>42</v>
      </c>
      <c r="F340">
        <v>4507</v>
      </c>
      <c r="G340">
        <v>217</v>
      </c>
      <c r="H340">
        <v>13</v>
      </c>
      <c r="I340">
        <v>90140</v>
      </c>
      <c r="J340">
        <v>89591</v>
      </c>
      <c r="K340">
        <v>125</v>
      </c>
      <c r="L340" t="s">
        <v>17</v>
      </c>
      <c r="M340" t="s">
        <v>29</v>
      </c>
      <c r="N340">
        <f>(Posts[[#This Row],[Likes]]+Posts[[#This Row],[Shares]]+Posts[[#This Row],[Comments]])/Posts[[#This Row],[Impressions]]</f>
        <v>5.2551586421122697E-2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FFDB-0137-514B-8799-FE0C1043FF17}">
  <dimension ref="A1:H1000"/>
  <sheetViews>
    <sheetView workbookViewId="0">
      <selection activeCell="K10" sqref="K10"/>
    </sheetView>
  </sheetViews>
  <sheetFormatPr baseColWidth="10" defaultRowHeight="16" x14ac:dyDescent="0.2"/>
  <cols>
    <col min="1" max="1" width="11" bestFit="1" customWidth="1"/>
    <col min="2" max="2" width="16.1640625" bestFit="1" customWidth="1"/>
    <col min="3" max="3" width="11.83203125" bestFit="1" customWidth="1"/>
    <col min="4" max="4" width="16.5" bestFit="1" customWidth="1"/>
    <col min="5" max="5" width="18.83203125" bestFit="1" customWidth="1"/>
    <col min="6" max="6" width="11.6640625" bestFit="1" customWidth="1"/>
    <col min="7" max="7" width="18" bestFit="1" customWidth="1"/>
  </cols>
  <sheetData>
    <row r="1" spans="1:8" x14ac:dyDescent="0.2">
      <c r="A1" t="s">
        <v>1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  <c r="H1" t="s">
        <v>393</v>
      </c>
    </row>
    <row r="2" spans="1:8" x14ac:dyDescent="0.2">
      <c r="A2" t="s">
        <v>31</v>
      </c>
      <c r="B2">
        <v>1135</v>
      </c>
      <c r="C2">
        <v>88</v>
      </c>
      <c r="D2">
        <v>344084</v>
      </c>
      <c r="E2">
        <v>8.06</v>
      </c>
      <c r="F2">
        <v>5904</v>
      </c>
      <c r="G2" s="1">
        <v>45446</v>
      </c>
      <c r="H2">
        <f>Engagement_Summary[[#This Row],[New_Followers]]-Engagement_Summary[[#This Row],[Unfollows]]</f>
        <v>1047</v>
      </c>
    </row>
    <row r="3" spans="1:8" x14ac:dyDescent="0.2">
      <c r="A3" t="s">
        <v>38</v>
      </c>
      <c r="B3">
        <v>1312</v>
      </c>
      <c r="C3">
        <v>310</v>
      </c>
      <c r="D3">
        <v>42654</v>
      </c>
      <c r="E3">
        <v>4.9800000000000004</v>
      </c>
      <c r="F3">
        <v>9566</v>
      </c>
      <c r="G3" s="1">
        <v>45446</v>
      </c>
      <c r="H3">
        <f>Engagement_Summary[[#This Row],[New_Followers]]-Engagement_Summary[[#This Row],[Unfollows]]</f>
        <v>1002</v>
      </c>
    </row>
    <row r="4" spans="1:8" x14ac:dyDescent="0.2">
      <c r="A4" t="s">
        <v>14</v>
      </c>
      <c r="B4">
        <v>584</v>
      </c>
      <c r="C4">
        <v>169</v>
      </c>
      <c r="D4">
        <v>146834</v>
      </c>
      <c r="E4">
        <v>8.31</v>
      </c>
      <c r="F4">
        <v>26752</v>
      </c>
      <c r="G4" s="1">
        <v>45446</v>
      </c>
      <c r="H4">
        <f>Engagement_Summary[[#This Row],[New_Followers]]-Engagement_Summary[[#This Row],[Unfollows]]</f>
        <v>415</v>
      </c>
    </row>
    <row r="5" spans="1:8" x14ac:dyDescent="0.2">
      <c r="A5" t="s">
        <v>27</v>
      </c>
      <c r="B5">
        <v>1535</v>
      </c>
      <c r="C5">
        <v>445</v>
      </c>
      <c r="D5">
        <v>395536</v>
      </c>
      <c r="E5">
        <v>4.1100000000000003</v>
      </c>
      <c r="F5">
        <v>30671</v>
      </c>
      <c r="G5" s="1">
        <v>45446</v>
      </c>
      <c r="H5">
        <f>Engagement_Summary[[#This Row],[New_Followers]]-Engagement_Summary[[#This Row],[Unfollows]]</f>
        <v>1090</v>
      </c>
    </row>
    <row r="6" spans="1:8" x14ac:dyDescent="0.2">
      <c r="A6" t="s">
        <v>31</v>
      </c>
      <c r="B6">
        <v>656</v>
      </c>
      <c r="C6">
        <v>139</v>
      </c>
      <c r="D6">
        <v>49157</v>
      </c>
      <c r="E6">
        <v>9.0500000000000007</v>
      </c>
      <c r="F6">
        <v>9920</v>
      </c>
      <c r="G6" s="1">
        <v>45453</v>
      </c>
      <c r="H6">
        <f>Engagement_Summary[[#This Row],[New_Followers]]-Engagement_Summary[[#This Row],[Unfollows]]</f>
        <v>517</v>
      </c>
    </row>
    <row r="7" spans="1:8" x14ac:dyDescent="0.2">
      <c r="A7" t="s">
        <v>38</v>
      </c>
      <c r="B7">
        <v>1697</v>
      </c>
      <c r="C7">
        <v>414</v>
      </c>
      <c r="D7">
        <v>316555</v>
      </c>
      <c r="E7">
        <v>2.37</v>
      </c>
      <c r="F7">
        <v>7924</v>
      </c>
      <c r="G7" s="1">
        <v>45453</v>
      </c>
      <c r="H7">
        <f>Engagement_Summary[[#This Row],[New_Followers]]-Engagement_Summary[[#This Row],[Unfollows]]</f>
        <v>1283</v>
      </c>
    </row>
    <row r="8" spans="1:8" x14ac:dyDescent="0.2">
      <c r="A8" t="s">
        <v>14</v>
      </c>
      <c r="B8">
        <v>436</v>
      </c>
      <c r="C8">
        <v>250</v>
      </c>
      <c r="D8">
        <v>254347</v>
      </c>
      <c r="E8">
        <v>4.01</v>
      </c>
      <c r="F8">
        <v>8912</v>
      </c>
      <c r="G8" s="1">
        <v>45453</v>
      </c>
      <c r="H8">
        <f>Engagement_Summary[[#This Row],[New_Followers]]-Engagement_Summary[[#This Row],[Unfollows]]</f>
        <v>186</v>
      </c>
    </row>
    <row r="9" spans="1:8" x14ac:dyDescent="0.2">
      <c r="A9" t="s">
        <v>27</v>
      </c>
      <c r="B9">
        <v>1197</v>
      </c>
      <c r="C9">
        <v>203</v>
      </c>
      <c r="D9">
        <v>413878</v>
      </c>
      <c r="E9">
        <v>3.16</v>
      </c>
      <c r="F9">
        <v>21205</v>
      </c>
      <c r="G9" s="1">
        <v>45453</v>
      </c>
      <c r="H9">
        <f>Engagement_Summary[[#This Row],[New_Followers]]-Engagement_Summary[[#This Row],[Unfollows]]</f>
        <v>994</v>
      </c>
    </row>
    <row r="10" spans="1:8" x14ac:dyDescent="0.2">
      <c r="A10" t="s">
        <v>31</v>
      </c>
      <c r="B10">
        <v>1048</v>
      </c>
      <c r="C10">
        <v>155</v>
      </c>
      <c r="D10">
        <v>456946</v>
      </c>
      <c r="E10">
        <v>2.46</v>
      </c>
      <c r="F10">
        <v>11329</v>
      </c>
      <c r="G10" s="1">
        <v>45460</v>
      </c>
      <c r="H10">
        <f>Engagement_Summary[[#This Row],[New_Followers]]-Engagement_Summary[[#This Row],[Unfollows]]</f>
        <v>893</v>
      </c>
    </row>
    <row r="11" spans="1:8" x14ac:dyDescent="0.2">
      <c r="A11" t="s">
        <v>38</v>
      </c>
      <c r="B11">
        <v>1753</v>
      </c>
      <c r="C11">
        <v>371</v>
      </c>
      <c r="D11">
        <v>169496</v>
      </c>
      <c r="E11">
        <v>8.11</v>
      </c>
      <c r="F11">
        <v>46670</v>
      </c>
      <c r="G11" s="1">
        <v>45460</v>
      </c>
      <c r="H11">
        <f>Engagement_Summary[[#This Row],[New_Followers]]-Engagement_Summary[[#This Row],[Unfollows]]</f>
        <v>1382</v>
      </c>
    </row>
    <row r="12" spans="1:8" x14ac:dyDescent="0.2">
      <c r="A12" t="s">
        <v>14</v>
      </c>
      <c r="B12">
        <v>1335</v>
      </c>
      <c r="C12">
        <v>40</v>
      </c>
      <c r="D12">
        <v>122732</v>
      </c>
      <c r="E12">
        <v>8.19</v>
      </c>
      <c r="F12">
        <v>22482</v>
      </c>
      <c r="G12" s="1">
        <v>45460</v>
      </c>
      <c r="H12">
        <f>Engagement_Summary[[#This Row],[New_Followers]]-Engagement_Summary[[#This Row],[Unfollows]]</f>
        <v>1295</v>
      </c>
    </row>
    <row r="13" spans="1:8" x14ac:dyDescent="0.2">
      <c r="A13" t="s">
        <v>27</v>
      </c>
      <c r="B13">
        <v>403</v>
      </c>
      <c r="C13">
        <v>66</v>
      </c>
      <c r="D13">
        <v>382851</v>
      </c>
      <c r="E13">
        <v>3.49</v>
      </c>
      <c r="F13">
        <v>24313</v>
      </c>
      <c r="G13" s="1">
        <v>45460</v>
      </c>
      <c r="H13">
        <f>Engagement_Summary[[#This Row],[New_Followers]]-Engagement_Summary[[#This Row],[Unfollows]]</f>
        <v>337</v>
      </c>
    </row>
    <row r="14" spans="1:8" x14ac:dyDescent="0.2">
      <c r="A14" t="s">
        <v>31</v>
      </c>
      <c r="B14">
        <v>911</v>
      </c>
      <c r="C14">
        <v>282</v>
      </c>
      <c r="D14">
        <v>35664</v>
      </c>
      <c r="E14">
        <v>6.92</v>
      </c>
      <c r="F14">
        <v>18050</v>
      </c>
      <c r="G14" s="1">
        <v>45467</v>
      </c>
      <c r="H14">
        <f>Engagement_Summary[[#This Row],[New_Followers]]-Engagement_Summary[[#This Row],[Unfollows]]</f>
        <v>629</v>
      </c>
    </row>
    <row r="15" spans="1:8" x14ac:dyDescent="0.2">
      <c r="A15" t="s">
        <v>38</v>
      </c>
      <c r="B15">
        <v>1779</v>
      </c>
      <c r="C15">
        <v>109</v>
      </c>
      <c r="D15">
        <v>26295</v>
      </c>
      <c r="E15">
        <v>9.1199999999999992</v>
      </c>
      <c r="F15">
        <v>30635</v>
      </c>
      <c r="G15" s="1">
        <v>45467</v>
      </c>
      <c r="H15">
        <f>Engagement_Summary[[#This Row],[New_Followers]]-Engagement_Summary[[#This Row],[Unfollows]]</f>
        <v>1670</v>
      </c>
    </row>
    <row r="16" spans="1:8" x14ac:dyDescent="0.2">
      <c r="A16" t="s">
        <v>14</v>
      </c>
      <c r="B16">
        <v>1238</v>
      </c>
      <c r="C16">
        <v>403</v>
      </c>
      <c r="D16">
        <v>298421</v>
      </c>
      <c r="E16">
        <v>3.5</v>
      </c>
      <c r="F16">
        <v>31280</v>
      </c>
      <c r="G16" s="1">
        <v>45467</v>
      </c>
      <c r="H16">
        <f>Engagement_Summary[[#This Row],[New_Followers]]-Engagement_Summary[[#This Row],[Unfollows]]</f>
        <v>835</v>
      </c>
    </row>
    <row r="17" spans="1:8" x14ac:dyDescent="0.2">
      <c r="A17" t="s">
        <v>27</v>
      </c>
      <c r="B17">
        <v>308</v>
      </c>
      <c r="C17">
        <v>431</v>
      </c>
      <c r="D17">
        <v>426184</v>
      </c>
      <c r="E17">
        <v>2.62</v>
      </c>
      <c r="F17">
        <v>1783</v>
      </c>
      <c r="G17" s="1">
        <v>45467</v>
      </c>
      <c r="H17">
        <f>Engagement_Summary[[#This Row],[New_Followers]]-Engagement_Summary[[#This Row],[Unfollows]]</f>
        <v>-123</v>
      </c>
    </row>
    <row r="18" spans="1:8" x14ac:dyDescent="0.2">
      <c r="A18" t="s">
        <v>31</v>
      </c>
      <c r="B18">
        <v>226</v>
      </c>
      <c r="C18">
        <v>445</v>
      </c>
      <c r="D18">
        <v>419447</v>
      </c>
      <c r="E18">
        <v>9.36</v>
      </c>
      <c r="F18">
        <v>9566</v>
      </c>
      <c r="G18" s="1">
        <v>45474</v>
      </c>
      <c r="H18">
        <f>Engagement_Summary[[#This Row],[New_Followers]]-Engagement_Summary[[#This Row],[Unfollows]]</f>
        <v>-219</v>
      </c>
    </row>
    <row r="19" spans="1:8" x14ac:dyDescent="0.2">
      <c r="A19" t="s">
        <v>38</v>
      </c>
      <c r="B19">
        <v>505</v>
      </c>
      <c r="C19">
        <v>441</v>
      </c>
      <c r="D19">
        <v>220020</v>
      </c>
      <c r="E19">
        <v>4.4800000000000004</v>
      </c>
      <c r="F19">
        <v>42307</v>
      </c>
      <c r="G19" s="1">
        <v>45474</v>
      </c>
      <c r="H19">
        <f>Engagement_Summary[[#This Row],[New_Followers]]-Engagement_Summary[[#This Row],[Unfollows]]</f>
        <v>64</v>
      </c>
    </row>
    <row r="20" spans="1:8" x14ac:dyDescent="0.2">
      <c r="A20" t="s">
        <v>14</v>
      </c>
      <c r="B20">
        <v>1420</v>
      </c>
      <c r="C20">
        <v>63</v>
      </c>
      <c r="D20">
        <v>315305</v>
      </c>
      <c r="E20">
        <v>6.19</v>
      </c>
      <c r="F20">
        <v>5914</v>
      </c>
      <c r="G20" s="1">
        <v>45474</v>
      </c>
      <c r="H20">
        <f>Engagement_Summary[[#This Row],[New_Followers]]-Engagement_Summary[[#This Row],[Unfollows]]</f>
        <v>1357</v>
      </c>
    </row>
    <row r="21" spans="1:8" x14ac:dyDescent="0.2">
      <c r="A21" t="s">
        <v>27</v>
      </c>
      <c r="B21">
        <v>144</v>
      </c>
      <c r="C21">
        <v>53</v>
      </c>
      <c r="D21">
        <v>113678</v>
      </c>
      <c r="E21">
        <v>8.7200000000000006</v>
      </c>
      <c r="F21">
        <v>30060</v>
      </c>
      <c r="G21" s="1">
        <v>45474</v>
      </c>
      <c r="H21">
        <f>Engagement_Summary[[#This Row],[New_Followers]]-Engagement_Summary[[#This Row],[Unfollows]]</f>
        <v>91</v>
      </c>
    </row>
    <row r="22" spans="1:8" x14ac:dyDescent="0.2">
      <c r="A22" t="s">
        <v>31</v>
      </c>
      <c r="B22">
        <v>1757</v>
      </c>
      <c r="C22">
        <v>85</v>
      </c>
      <c r="D22">
        <v>58223</v>
      </c>
      <c r="E22">
        <v>8.74</v>
      </c>
      <c r="F22">
        <v>22728</v>
      </c>
      <c r="G22" s="1">
        <v>45481</v>
      </c>
      <c r="H22">
        <f>Engagement_Summary[[#This Row],[New_Followers]]-Engagement_Summary[[#This Row],[Unfollows]]</f>
        <v>1672</v>
      </c>
    </row>
    <row r="23" spans="1:8" x14ac:dyDescent="0.2">
      <c r="A23" t="s">
        <v>38</v>
      </c>
      <c r="B23">
        <v>350</v>
      </c>
      <c r="C23">
        <v>41</v>
      </c>
      <c r="D23">
        <v>251694</v>
      </c>
      <c r="E23">
        <v>1.91</v>
      </c>
      <c r="F23">
        <v>38610</v>
      </c>
      <c r="G23" s="1">
        <v>45481</v>
      </c>
      <c r="H23">
        <f>Engagement_Summary[[#This Row],[New_Followers]]-Engagement_Summary[[#This Row],[Unfollows]]</f>
        <v>309</v>
      </c>
    </row>
    <row r="24" spans="1:8" x14ac:dyDescent="0.2">
      <c r="A24" t="s">
        <v>14</v>
      </c>
      <c r="B24">
        <v>987</v>
      </c>
      <c r="C24">
        <v>440</v>
      </c>
      <c r="D24">
        <v>389810</v>
      </c>
      <c r="E24">
        <v>4.66</v>
      </c>
      <c r="F24">
        <v>2932</v>
      </c>
      <c r="G24" s="1">
        <v>45481</v>
      </c>
      <c r="H24">
        <f>Engagement_Summary[[#This Row],[New_Followers]]-Engagement_Summary[[#This Row],[Unfollows]]</f>
        <v>547</v>
      </c>
    </row>
    <row r="25" spans="1:8" x14ac:dyDescent="0.2">
      <c r="A25" t="s">
        <v>27</v>
      </c>
      <c r="B25">
        <v>883</v>
      </c>
      <c r="C25">
        <v>369</v>
      </c>
      <c r="D25">
        <v>233694</v>
      </c>
      <c r="E25">
        <v>2.88</v>
      </c>
      <c r="F25">
        <v>15071</v>
      </c>
      <c r="G25" s="1">
        <v>45481</v>
      </c>
      <c r="H25">
        <f>Engagement_Summary[[#This Row],[New_Followers]]-Engagement_Summary[[#This Row],[Unfollows]]</f>
        <v>514</v>
      </c>
    </row>
    <row r="26" spans="1:8" x14ac:dyDescent="0.2">
      <c r="A26" t="s">
        <v>31</v>
      </c>
      <c r="B26">
        <v>1960</v>
      </c>
      <c r="C26">
        <v>115</v>
      </c>
      <c r="D26">
        <v>154169</v>
      </c>
      <c r="E26">
        <v>3.74</v>
      </c>
      <c r="F26">
        <v>10740</v>
      </c>
      <c r="G26" s="1">
        <v>45488</v>
      </c>
      <c r="H26">
        <f>Engagement_Summary[[#This Row],[New_Followers]]-Engagement_Summary[[#This Row],[Unfollows]]</f>
        <v>1845</v>
      </c>
    </row>
    <row r="27" spans="1:8" x14ac:dyDescent="0.2">
      <c r="A27" t="s">
        <v>38</v>
      </c>
      <c r="B27">
        <v>170</v>
      </c>
      <c r="C27">
        <v>334</v>
      </c>
      <c r="D27">
        <v>334626</v>
      </c>
      <c r="E27">
        <v>6.44</v>
      </c>
      <c r="F27">
        <v>43420</v>
      </c>
      <c r="G27" s="1">
        <v>45488</v>
      </c>
      <c r="H27">
        <f>Engagement_Summary[[#This Row],[New_Followers]]-Engagement_Summary[[#This Row],[Unfollows]]</f>
        <v>-164</v>
      </c>
    </row>
    <row r="28" spans="1:8" x14ac:dyDescent="0.2">
      <c r="A28" t="s">
        <v>14</v>
      </c>
      <c r="B28">
        <v>704</v>
      </c>
      <c r="C28">
        <v>275</v>
      </c>
      <c r="D28">
        <v>226002</v>
      </c>
      <c r="E28">
        <v>8.56</v>
      </c>
      <c r="F28">
        <v>32393</v>
      </c>
      <c r="G28" s="1">
        <v>45488</v>
      </c>
      <c r="H28">
        <f>Engagement_Summary[[#This Row],[New_Followers]]-Engagement_Summary[[#This Row],[Unfollows]]</f>
        <v>429</v>
      </c>
    </row>
    <row r="29" spans="1:8" x14ac:dyDescent="0.2">
      <c r="A29" t="s">
        <v>27</v>
      </c>
      <c r="B29">
        <v>224</v>
      </c>
      <c r="C29">
        <v>64</v>
      </c>
      <c r="D29">
        <v>156683</v>
      </c>
      <c r="E29">
        <v>4.5599999999999996</v>
      </c>
      <c r="F29">
        <v>28474</v>
      </c>
      <c r="G29" s="1">
        <v>45488</v>
      </c>
      <c r="H29">
        <f>Engagement_Summary[[#This Row],[New_Followers]]-Engagement_Summary[[#This Row],[Unfollows]]</f>
        <v>160</v>
      </c>
    </row>
    <row r="30" spans="1:8" x14ac:dyDescent="0.2">
      <c r="A30" t="s">
        <v>31</v>
      </c>
      <c r="B30">
        <v>508</v>
      </c>
      <c r="C30">
        <v>349</v>
      </c>
      <c r="D30">
        <v>473812</v>
      </c>
      <c r="E30">
        <v>7.88</v>
      </c>
      <c r="F30">
        <v>17328</v>
      </c>
      <c r="G30" s="1">
        <v>45495</v>
      </c>
      <c r="H30">
        <f>Engagement_Summary[[#This Row],[New_Followers]]-Engagement_Summary[[#This Row],[Unfollows]]</f>
        <v>159</v>
      </c>
    </row>
    <row r="31" spans="1:8" x14ac:dyDescent="0.2">
      <c r="A31" t="s">
        <v>38</v>
      </c>
      <c r="B31">
        <v>1391</v>
      </c>
      <c r="C31">
        <v>430</v>
      </c>
      <c r="D31">
        <v>295032</v>
      </c>
      <c r="E31">
        <v>7.86</v>
      </c>
      <c r="F31">
        <v>26067</v>
      </c>
      <c r="G31" s="1">
        <v>45495</v>
      </c>
      <c r="H31">
        <f>Engagement_Summary[[#This Row],[New_Followers]]-Engagement_Summary[[#This Row],[Unfollows]]</f>
        <v>961</v>
      </c>
    </row>
    <row r="32" spans="1:8" x14ac:dyDescent="0.2">
      <c r="A32" t="s">
        <v>14</v>
      </c>
      <c r="B32">
        <v>1701</v>
      </c>
      <c r="C32">
        <v>385</v>
      </c>
      <c r="D32">
        <v>198278</v>
      </c>
      <c r="E32">
        <v>5.34</v>
      </c>
      <c r="F32">
        <v>32763</v>
      </c>
      <c r="G32" s="1">
        <v>45495</v>
      </c>
      <c r="H32">
        <f>Engagement_Summary[[#This Row],[New_Followers]]-Engagement_Summary[[#This Row],[Unfollows]]</f>
        <v>1316</v>
      </c>
    </row>
    <row r="33" spans="1:8" x14ac:dyDescent="0.2">
      <c r="A33" t="s">
        <v>27</v>
      </c>
      <c r="B33">
        <v>804</v>
      </c>
      <c r="C33">
        <v>487</v>
      </c>
      <c r="D33">
        <v>306564</v>
      </c>
      <c r="E33">
        <v>5.52</v>
      </c>
      <c r="F33">
        <v>26452</v>
      </c>
      <c r="G33" s="1">
        <v>45495</v>
      </c>
      <c r="H33">
        <f>Engagement_Summary[[#This Row],[New_Followers]]-Engagement_Summary[[#This Row],[Unfollows]]</f>
        <v>317</v>
      </c>
    </row>
    <row r="34" spans="1:8" x14ac:dyDescent="0.2">
      <c r="A34" t="s">
        <v>31</v>
      </c>
      <c r="B34">
        <v>653</v>
      </c>
      <c r="C34">
        <v>112</v>
      </c>
      <c r="D34">
        <v>23664</v>
      </c>
      <c r="E34">
        <v>4.05</v>
      </c>
      <c r="F34">
        <v>15353</v>
      </c>
      <c r="G34" s="1">
        <v>45502</v>
      </c>
      <c r="H34">
        <f>Engagement_Summary[[#This Row],[New_Followers]]-Engagement_Summary[[#This Row],[Unfollows]]</f>
        <v>541</v>
      </c>
    </row>
    <row r="35" spans="1:8" x14ac:dyDescent="0.2">
      <c r="A35" t="s">
        <v>38</v>
      </c>
      <c r="B35">
        <v>160</v>
      </c>
      <c r="C35">
        <v>478</v>
      </c>
      <c r="D35">
        <v>435034</v>
      </c>
      <c r="E35">
        <v>7.73</v>
      </c>
      <c r="F35">
        <v>4839</v>
      </c>
      <c r="G35" s="1">
        <v>45502</v>
      </c>
      <c r="H35">
        <f>Engagement_Summary[[#This Row],[New_Followers]]-Engagement_Summary[[#This Row],[Unfollows]]</f>
        <v>-318</v>
      </c>
    </row>
    <row r="36" spans="1:8" x14ac:dyDescent="0.2">
      <c r="A36" t="s">
        <v>14</v>
      </c>
      <c r="B36">
        <v>1756</v>
      </c>
      <c r="C36">
        <v>261</v>
      </c>
      <c r="D36">
        <v>287574</v>
      </c>
      <c r="E36">
        <v>4.3600000000000003</v>
      </c>
      <c r="F36">
        <v>39272</v>
      </c>
      <c r="G36" s="1">
        <v>45502</v>
      </c>
      <c r="H36">
        <f>Engagement_Summary[[#This Row],[New_Followers]]-Engagement_Summary[[#This Row],[Unfollows]]</f>
        <v>1495</v>
      </c>
    </row>
    <row r="37" spans="1:8" x14ac:dyDescent="0.2">
      <c r="A37" t="s">
        <v>27</v>
      </c>
      <c r="B37">
        <v>576</v>
      </c>
      <c r="C37">
        <v>101</v>
      </c>
      <c r="D37">
        <v>62499</v>
      </c>
      <c r="E37">
        <v>3.48</v>
      </c>
      <c r="F37">
        <v>16804</v>
      </c>
      <c r="G37" s="1">
        <v>45502</v>
      </c>
      <c r="H37">
        <f>Engagement_Summary[[#This Row],[New_Followers]]-Engagement_Summary[[#This Row],[Unfollows]]</f>
        <v>475</v>
      </c>
    </row>
    <row r="38" spans="1:8" x14ac:dyDescent="0.2">
      <c r="A38" t="s">
        <v>31</v>
      </c>
      <c r="B38">
        <v>645</v>
      </c>
      <c r="C38">
        <v>293</v>
      </c>
      <c r="D38">
        <v>437968</v>
      </c>
      <c r="E38">
        <v>7.83</v>
      </c>
      <c r="F38">
        <v>49303</v>
      </c>
      <c r="G38" s="1">
        <v>45509</v>
      </c>
      <c r="H38">
        <f>Engagement_Summary[[#This Row],[New_Followers]]-Engagement_Summary[[#This Row],[Unfollows]]</f>
        <v>352</v>
      </c>
    </row>
    <row r="39" spans="1:8" x14ac:dyDescent="0.2">
      <c r="A39" t="s">
        <v>38</v>
      </c>
      <c r="B39">
        <v>214</v>
      </c>
      <c r="C39">
        <v>411</v>
      </c>
      <c r="D39">
        <v>125034</v>
      </c>
      <c r="E39">
        <v>6.11</v>
      </c>
      <c r="F39">
        <v>26455</v>
      </c>
      <c r="G39" s="1">
        <v>45509</v>
      </c>
      <c r="H39">
        <f>Engagement_Summary[[#This Row],[New_Followers]]-Engagement_Summary[[#This Row],[Unfollows]]</f>
        <v>-197</v>
      </c>
    </row>
    <row r="40" spans="1:8" x14ac:dyDescent="0.2">
      <c r="A40" t="s">
        <v>14</v>
      </c>
      <c r="B40">
        <v>826</v>
      </c>
      <c r="C40">
        <v>498</v>
      </c>
      <c r="D40">
        <v>449994</v>
      </c>
      <c r="E40">
        <v>9.43</v>
      </c>
      <c r="F40">
        <v>12384</v>
      </c>
      <c r="G40" s="1">
        <v>45509</v>
      </c>
      <c r="H40">
        <f>Engagement_Summary[[#This Row],[New_Followers]]-Engagement_Summary[[#This Row],[Unfollows]]</f>
        <v>328</v>
      </c>
    </row>
    <row r="41" spans="1:8" x14ac:dyDescent="0.2">
      <c r="A41" t="s">
        <v>27</v>
      </c>
      <c r="B41">
        <v>460</v>
      </c>
      <c r="C41">
        <v>141</v>
      </c>
      <c r="D41">
        <v>320650</v>
      </c>
      <c r="E41">
        <v>4.04</v>
      </c>
      <c r="F41">
        <v>49372</v>
      </c>
      <c r="G41" s="1">
        <v>45509</v>
      </c>
      <c r="H41">
        <f>Engagement_Summary[[#This Row],[New_Followers]]-Engagement_Summary[[#This Row],[Unfollows]]</f>
        <v>319</v>
      </c>
    </row>
    <row r="42" spans="1:8" x14ac:dyDescent="0.2">
      <c r="A42" t="s">
        <v>31</v>
      </c>
      <c r="B42">
        <v>1528</v>
      </c>
      <c r="C42">
        <v>203</v>
      </c>
      <c r="D42">
        <v>489188</v>
      </c>
      <c r="E42">
        <v>6.23</v>
      </c>
      <c r="F42">
        <v>47101</v>
      </c>
      <c r="G42" s="1">
        <v>45516</v>
      </c>
      <c r="H42">
        <f>Engagement_Summary[[#This Row],[New_Followers]]-Engagement_Summary[[#This Row],[Unfollows]]</f>
        <v>1325</v>
      </c>
    </row>
    <row r="43" spans="1:8" x14ac:dyDescent="0.2">
      <c r="A43" t="s">
        <v>38</v>
      </c>
      <c r="B43">
        <v>1534</v>
      </c>
      <c r="C43">
        <v>200</v>
      </c>
      <c r="D43">
        <v>307612</v>
      </c>
      <c r="E43">
        <v>6.01</v>
      </c>
      <c r="F43">
        <v>37903</v>
      </c>
      <c r="G43" s="1">
        <v>45516</v>
      </c>
      <c r="H43">
        <f>Engagement_Summary[[#This Row],[New_Followers]]-Engagement_Summary[[#This Row],[Unfollows]]</f>
        <v>1334</v>
      </c>
    </row>
    <row r="44" spans="1:8" x14ac:dyDescent="0.2">
      <c r="A44" t="s">
        <v>14</v>
      </c>
      <c r="B44">
        <v>485</v>
      </c>
      <c r="C44">
        <v>448</v>
      </c>
      <c r="D44">
        <v>434883</v>
      </c>
      <c r="E44">
        <v>8.5500000000000007</v>
      </c>
      <c r="F44">
        <v>33258</v>
      </c>
      <c r="G44" s="1">
        <v>45516</v>
      </c>
      <c r="H44">
        <f>Engagement_Summary[[#This Row],[New_Followers]]-Engagement_Summary[[#This Row],[Unfollows]]</f>
        <v>37</v>
      </c>
    </row>
    <row r="45" spans="1:8" x14ac:dyDescent="0.2">
      <c r="A45" t="s">
        <v>27</v>
      </c>
      <c r="B45">
        <v>1210</v>
      </c>
      <c r="C45">
        <v>178</v>
      </c>
      <c r="D45">
        <v>102042</v>
      </c>
      <c r="E45">
        <v>5.42</v>
      </c>
      <c r="F45">
        <v>6915</v>
      </c>
      <c r="G45" s="1">
        <v>45516</v>
      </c>
      <c r="H45">
        <f>Engagement_Summary[[#This Row],[New_Followers]]-Engagement_Summary[[#This Row],[Unfollows]]</f>
        <v>1032</v>
      </c>
    </row>
    <row r="46" spans="1:8" x14ac:dyDescent="0.2">
      <c r="A46" t="s">
        <v>31</v>
      </c>
      <c r="B46">
        <v>215</v>
      </c>
      <c r="C46">
        <v>139</v>
      </c>
      <c r="D46">
        <v>325444</v>
      </c>
      <c r="E46">
        <v>3.25</v>
      </c>
      <c r="F46">
        <v>35501</v>
      </c>
      <c r="G46" s="1">
        <v>45523</v>
      </c>
      <c r="H46">
        <f>Engagement_Summary[[#This Row],[New_Followers]]-Engagement_Summary[[#This Row],[Unfollows]]</f>
        <v>76</v>
      </c>
    </row>
    <row r="47" spans="1:8" x14ac:dyDescent="0.2">
      <c r="A47" t="s">
        <v>38</v>
      </c>
      <c r="B47">
        <v>1078</v>
      </c>
      <c r="C47">
        <v>20</v>
      </c>
      <c r="D47">
        <v>183924</v>
      </c>
      <c r="E47">
        <v>8.84</v>
      </c>
      <c r="F47">
        <v>14203</v>
      </c>
      <c r="G47" s="1">
        <v>45523</v>
      </c>
      <c r="H47">
        <f>Engagement_Summary[[#This Row],[New_Followers]]-Engagement_Summary[[#This Row],[Unfollows]]</f>
        <v>1058</v>
      </c>
    </row>
    <row r="48" spans="1:8" x14ac:dyDescent="0.2">
      <c r="A48" t="s">
        <v>14</v>
      </c>
      <c r="B48">
        <v>1751</v>
      </c>
      <c r="C48">
        <v>86</v>
      </c>
      <c r="D48">
        <v>188655</v>
      </c>
      <c r="E48">
        <v>7.24</v>
      </c>
      <c r="F48">
        <v>22206</v>
      </c>
      <c r="G48" s="1">
        <v>45523</v>
      </c>
      <c r="H48">
        <f>Engagement_Summary[[#This Row],[New_Followers]]-Engagement_Summary[[#This Row],[Unfollows]]</f>
        <v>1665</v>
      </c>
    </row>
    <row r="49" spans="1:8" x14ac:dyDescent="0.2">
      <c r="A49" t="s">
        <v>27</v>
      </c>
      <c r="B49">
        <v>221</v>
      </c>
      <c r="C49">
        <v>31</v>
      </c>
      <c r="D49">
        <v>87443</v>
      </c>
      <c r="E49">
        <v>6.19</v>
      </c>
      <c r="F49">
        <v>10283</v>
      </c>
      <c r="G49" s="1">
        <v>45523</v>
      </c>
      <c r="H49">
        <f>Engagement_Summary[[#This Row],[New_Followers]]-Engagement_Summary[[#This Row],[Unfollows]]</f>
        <v>190</v>
      </c>
    </row>
    <row r="50" spans="1:8" x14ac:dyDescent="0.2">
      <c r="A50" t="s">
        <v>31</v>
      </c>
      <c r="B50">
        <v>1685</v>
      </c>
      <c r="C50">
        <v>76</v>
      </c>
      <c r="D50">
        <v>453799</v>
      </c>
      <c r="E50">
        <v>5.71</v>
      </c>
      <c r="F50">
        <v>24913</v>
      </c>
      <c r="G50" s="1">
        <v>45530</v>
      </c>
      <c r="H50">
        <f>Engagement_Summary[[#This Row],[New_Followers]]-Engagement_Summary[[#This Row],[Unfollows]]</f>
        <v>1609</v>
      </c>
    </row>
    <row r="51" spans="1:8" x14ac:dyDescent="0.2">
      <c r="A51" t="s">
        <v>38</v>
      </c>
      <c r="B51">
        <v>248</v>
      </c>
      <c r="C51">
        <v>211</v>
      </c>
      <c r="D51">
        <v>379380</v>
      </c>
      <c r="E51">
        <v>9.0399999999999991</v>
      </c>
      <c r="F51">
        <v>26925</v>
      </c>
      <c r="G51" s="1">
        <v>45530</v>
      </c>
      <c r="H51">
        <f>Engagement_Summary[[#This Row],[New_Followers]]-Engagement_Summary[[#This Row],[Unfollows]]</f>
        <v>37</v>
      </c>
    </row>
    <row r="52" spans="1:8" x14ac:dyDescent="0.2">
      <c r="A52" t="s">
        <v>14</v>
      </c>
      <c r="B52">
        <v>1300</v>
      </c>
      <c r="C52">
        <v>71</v>
      </c>
      <c r="D52">
        <v>186454</v>
      </c>
      <c r="E52">
        <v>3.91</v>
      </c>
      <c r="F52">
        <v>9942</v>
      </c>
      <c r="G52" s="1">
        <v>45530</v>
      </c>
      <c r="H52">
        <f>Engagement_Summary[[#This Row],[New_Followers]]-Engagement_Summary[[#This Row],[Unfollows]]</f>
        <v>1229</v>
      </c>
    </row>
    <row r="53" spans="1:8" x14ac:dyDescent="0.2">
      <c r="A53" t="s">
        <v>27</v>
      </c>
      <c r="B53">
        <v>422</v>
      </c>
      <c r="C53">
        <v>394</v>
      </c>
      <c r="D53">
        <v>239044</v>
      </c>
      <c r="E53">
        <v>7.83</v>
      </c>
      <c r="F53">
        <v>32929</v>
      </c>
      <c r="G53" s="1">
        <v>45530</v>
      </c>
      <c r="H53">
        <f>Engagement_Summary[[#This Row],[New_Followers]]-Engagement_Summary[[#This Row],[Unfollows]]</f>
        <v>28</v>
      </c>
    </row>
    <row r="54" spans="1:8" x14ac:dyDescent="0.2">
      <c r="A54" t="s">
        <v>31</v>
      </c>
      <c r="B54">
        <v>1429</v>
      </c>
      <c r="C54">
        <v>182</v>
      </c>
      <c r="D54">
        <v>101332</v>
      </c>
      <c r="E54">
        <v>7.16</v>
      </c>
      <c r="F54">
        <v>37829</v>
      </c>
      <c r="G54" s="1">
        <v>45537</v>
      </c>
      <c r="H54">
        <f>Engagement_Summary[[#This Row],[New_Followers]]-Engagement_Summary[[#This Row],[Unfollows]]</f>
        <v>1247</v>
      </c>
    </row>
    <row r="55" spans="1:8" x14ac:dyDescent="0.2">
      <c r="A55" t="s">
        <v>38</v>
      </c>
      <c r="B55">
        <v>1520</v>
      </c>
      <c r="C55">
        <v>475</v>
      </c>
      <c r="D55">
        <v>496982</v>
      </c>
      <c r="E55">
        <v>6.41</v>
      </c>
      <c r="F55">
        <v>24384</v>
      </c>
      <c r="G55" s="1">
        <v>45537</v>
      </c>
      <c r="H55">
        <f>Engagement_Summary[[#This Row],[New_Followers]]-Engagement_Summary[[#This Row],[Unfollows]]</f>
        <v>1045</v>
      </c>
    </row>
    <row r="56" spans="1:8" x14ac:dyDescent="0.2">
      <c r="A56" t="s">
        <v>14</v>
      </c>
      <c r="B56">
        <v>557</v>
      </c>
      <c r="C56">
        <v>360</v>
      </c>
      <c r="D56">
        <v>318779</v>
      </c>
      <c r="E56">
        <v>8.02</v>
      </c>
      <c r="F56">
        <v>25797</v>
      </c>
      <c r="G56" s="1">
        <v>45537</v>
      </c>
      <c r="H56">
        <f>Engagement_Summary[[#This Row],[New_Followers]]-Engagement_Summary[[#This Row],[Unfollows]]</f>
        <v>197</v>
      </c>
    </row>
    <row r="57" spans="1:8" x14ac:dyDescent="0.2">
      <c r="A57" t="s">
        <v>27</v>
      </c>
      <c r="B57">
        <v>728</v>
      </c>
      <c r="C57">
        <v>395</v>
      </c>
      <c r="D57">
        <v>370971</v>
      </c>
      <c r="E57">
        <v>3.86</v>
      </c>
      <c r="F57">
        <v>12646</v>
      </c>
      <c r="G57" s="1">
        <v>45537</v>
      </c>
      <c r="H57">
        <f>Engagement_Summary[[#This Row],[New_Followers]]-Engagement_Summary[[#This Row],[Unfollows]]</f>
        <v>333</v>
      </c>
    </row>
    <row r="58" spans="1:8" x14ac:dyDescent="0.2">
      <c r="A58" t="s">
        <v>31</v>
      </c>
      <c r="B58">
        <v>1592</v>
      </c>
      <c r="C58">
        <v>20</v>
      </c>
      <c r="D58">
        <v>378054</v>
      </c>
      <c r="E58">
        <v>9.09</v>
      </c>
      <c r="F58">
        <v>26663</v>
      </c>
      <c r="G58" s="1">
        <v>45544</v>
      </c>
      <c r="H58">
        <f>Engagement_Summary[[#This Row],[New_Followers]]-Engagement_Summary[[#This Row],[Unfollows]]</f>
        <v>1572</v>
      </c>
    </row>
    <row r="59" spans="1:8" x14ac:dyDescent="0.2">
      <c r="A59" t="s">
        <v>38</v>
      </c>
      <c r="B59">
        <v>1842</v>
      </c>
      <c r="C59">
        <v>414</v>
      </c>
      <c r="D59">
        <v>307524</v>
      </c>
      <c r="E59">
        <v>1.76</v>
      </c>
      <c r="F59">
        <v>40478</v>
      </c>
      <c r="G59" s="1">
        <v>45544</v>
      </c>
      <c r="H59">
        <f>Engagement_Summary[[#This Row],[New_Followers]]-Engagement_Summary[[#This Row],[Unfollows]]</f>
        <v>1428</v>
      </c>
    </row>
    <row r="60" spans="1:8" x14ac:dyDescent="0.2">
      <c r="A60" t="s">
        <v>14</v>
      </c>
      <c r="B60">
        <v>751</v>
      </c>
      <c r="C60">
        <v>491</v>
      </c>
      <c r="D60">
        <v>434047</v>
      </c>
      <c r="E60">
        <v>9.24</v>
      </c>
      <c r="F60">
        <v>15476</v>
      </c>
      <c r="G60" s="1">
        <v>45544</v>
      </c>
      <c r="H60">
        <f>Engagement_Summary[[#This Row],[New_Followers]]-Engagement_Summary[[#This Row],[Unfollows]]</f>
        <v>260</v>
      </c>
    </row>
    <row r="61" spans="1:8" x14ac:dyDescent="0.2">
      <c r="A61" t="s">
        <v>27</v>
      </c>
      <c r="B61">
        <v>1409</v>
      </c>
      <c r="C61">
        <v>309</v>
      </c>
      <c r="D61">
        <v>64583</v>
      </c>
      <c r="E61">
        <v>8.99</v>
      </c>
      <c r="F61">
        <v>10217</v>
      </c>
      <c r="G61" s="1">
        <v>45544</v>
      </c>
      <c r="H61">
        <f>Engagement_Summary[[#This Row],[New_Followers]]-Engagement_Summary[[#This Row],[Unfollows]]</f>
        <v>1100</v>
      </c>
    </row>
    <row r="62" spans="1:8" x14ac:dyDescent="0.2">
      <c r="A62" t="s">
        <v>31</v>
      </c>
      <c r="B62">
        <v>778</v>
      </c>
      <c r="C62">
        <v>401</v>
      </c>
      <c r="D62">
        <v>50793</v>
      </c>
      <c r="E62">
        <v>3.4</v>
      </c>
      <c r="F62">
        <v>21939</v>
      </c>
      <c r="G62" s="1">
        <v>45551</v>
      </c>
      <c r="H62">
        <f>Engagement_Summary[[#This Row],[New_Followers]]-Engagement_Summary[[#This Row],[Unfollows]]</f>
        <v>377</v>
      </c>
    </row>
    <row r="63" spans="1:8" x14ac:dyDescent="0.2">
      <c r="A63" t="s">
        <v>38</v>
      </c>
      <c r="B63">
        <v>443</v>
      </c>
      <c r="C63">
        <v>345</v>
      </c>
      <c r="D63">
        <v>474162</v>
      </c>
      <c r="E63">
        <v>9.1999999999999993</v>
      </c>
      <c r="F63">
        <v>47462</v>
      </c>
      <c r="G63" s="1">
        <v>45551</v>
      </c>
      <c r="H63">
        <f>Engagement_Summary[[#This Row],[New_Followers]]-Engagement_Summary[[#This Row],[Unfollows]]</f>
        <v>98</v>
      </c>
    </row>
    <row r="64" spans="1:8" x14ac:dyDescent="0.2">
      <c r="A64" t="s">
        <v>14</v>
      </c>
      <c r="B64">
        <v>1472</v>
      </c>
      <c r="C64">
        <v>347</v>
      </c>
      <c r="D64">
        <v>392355</v>
      </c>
      <c r="E64">
        <v>8.59</v>
      </c>
      <c r="F64">
        <v>30270</v>
      </c>
      <c r="G64" s="1">
        <v>45551</v>
      </c>
      <c r="H64">
        <f>Engagement_Summary[[#This Row],[New_Followers]]-Engagement_Summary[[#This Row],[Unfollows]]</f>
        <v>1125</v>
      </c>
    </row>
    <row r="65" spans="1:8" x14ac:dyDescent="0.2">
      <c r="A65" t="s">
        <v>27</v>
      </c>
      <c r="B65">
        <v>123</v>
      </c>
      <c r="C65">
        <v>155</v>
      </c>
      <c r="D65">
        <v>119934</v>
      </c>
      <c r="E65">
        <v>3.5</v>
      </c>
      <c r="F65">
        <v>5442</v>
      </c>
      <c r="G65" s="1">
        <v>45551</v>
      </c>
      <c r="H65">
        <f>Engagement_Summary[[#This Row],[New_Followers]]-Engagement_Summary[[#This Row],[Unfollows]]</f>
        <v>-32</v>
      </c>
    </row>
    <row r="66" spans="1:8" x14ac:dyDescent="0.2">
      <c r="A66" t="s">
        <v>31</v>
      </c>
      <c r="B66">
        <v>817</v>
      </c>
      <c r="C66">
        <v>151</v>
      </c>
      <c r="D66">
        <v>422625</v>
      </c>
      <c r="E66">
        <v>2.36</v>
      </c>
      <c r="F66">
        <v>1083</v>
      </c>
      <c r="G66" s="1">
        <v>45558</v>
      </c>
      <c r="H66">
        <f>Engagement_Summary[[#This Row],[New_Followers]]-Engagement_Summary[[#This Row],[Unfollows]]</f>
        <v>666</v>
      </c>
    </row>
    <row r="67" spans="1:8" x14ac:dyDescent="0.2">
      <c r="A67" t="s">
        <v>38</v>
      </c>
      <c r="B67">
        <v>198</v>
      </c>
      <c r="C67">
        <v>217</v>
      </c>
      <c r="D67">
        <v>239753</v>
      </c>
      <c r="E67">
        <v>7.36</v>
      </c>
      <c r="F67">
        <v>11901</v>
      </c>
      <c r="G67" s="1">
        <v>45558</v>
      </c>
      <c r="H67">
        <f>Engagement_Summary[[#This Row],[New_Followers]]-Engagement_Summary[[#This Row],[Unfollows]]</f>
        <v>-19</v>
      </c>
    </row>
    <row r="68" spans="1:8" x14ac:dyDescent="0.2">
      <c r="A68" t="s">
        <v>14</v>
      </c>
      <c r="B68">
        <v>1911</v>
      </c>
      <c r="C68">
        <v>231</v>
      </c>
      <c r="D68">
        <v>268516</v>
      </c>
      <c r="E68">
        <v>8.5500000000000007</v>
      </c>
      <c r="F68">
        <v>24018</v>
      </c>
      <c r="G68" s="1">
        <v>45558</v>
      </c>
      <c r="H68">
        <f>Engagement_Summary[[#This Row],[New_Followers]]-Engagement_Summary[[#This Row],[Unfollows]]</f>
        <v>1680</v>
      </c>
    </row>
    <row r="69" spans="1:8" x14ac:dyDescent="0.2">
      <c r="A69" t="s">
        <v>27</v>
      </c>
      <c r="B69">
        <v>1218</v>
      </c>
      <c r="C69">
        <v>212</v>
      </c>
      <c r="D69">
        <v>63177</v>
      </c>
      <c r="E69">
        <v>8.1300000000000008</v>
      </c>
      <c r="F69">
        <v>38883</v>
      </c>
      <c r="G69" s="1">
        <v>45558</v>
      </c>
      <c r="H69">
        <f>Engagement_Summary[[#This Row],[New_Followers]]-Engagement_Summary[[#This Row],[Unfollows]]</f>
        <v>1006</v>
      </c>
    </row>
    <row r="70" spans="1:8" x14ac:dyDescent="0.2">
      <c r="A70" t="s">
        <v>31</v>
      </c>
      <c r="B70">
        <v>1433</v>
      </c>
      <c r="C70">
        <v>408</v>
      </c>
      <c r="D70">
        <v>370269</v>
      </c>
      <c r="E70">
        <v>3.3</v>
      </c>
      <c r="F70">
        <v>30575</v>
      </c>
      <c r="G70" s="1">
        <v>45565</v>
      </c>
      <c r="H70">
        <f>Engagement_Summary[[#This Row],[New_Followers]]-Engagement_Summary[[#This Row],[Unfollows]]</f>
        <v>1025</v>
      </c>
    </row>
    <row r="71" spans="1:8" x14ac:dyDescent="0.2">
      <c r="A71" t="s">
        <v>38</v>
      </c>
      <c r="B71">
        <v>250</v>
      </c>
      <c r="C71">
        <v>429</v>
      </c>
      <c r="D71">
        <v>453423</v>
      </c>
      <c r="E71">
        <v>1.77</v>
      </c>
      <c r="F71">
        <v>2315</v>
      </c>
      <c r="G71" s="1">
        <v>45565</v>
      </c>
      <c r="H71">
        <f>Engagement_Summary[[#This Row],[New_Followers]]-Engagement_Summary[[#This Row],[Unfollows]]</f>
        <v>-179</v>
      </c>
    </row>
    <row r="72" spans="1:8" x14ac:dyDescent="0.2">
      <c r="A72" t="s">
        <v>14</v>
      </c>
      <c r="B72">
        <v>752</v>
      </c>
      <c r="C72">
        <v>153</v>
      </c>
      <c r="D72">
        <v>64906</v>
      </c>
      <c r="E72">
        <v>2.09</v>
      </c>
      <c r="F72">
        <v>12148</v>
      </c>
      <c r="G72" s="1">
        <v>45565</v>
      </c>
      <c r="H72">
        <f>Engagement_Summary[[#This Row],[New_Followers]]-Engagement_Summary[[#This Row],[Unfollows]]</f>
        <v>599</v>
      </c>
    </row>
    <row r="73" spans="1:8" x14ac:dyDescent="0.2">
      <c r="A73" t="s">
        <v>27</v>
      </c>
      <c r="B73">
        <v>1918</v>
      </c>
      <c r="C73">
        <v>212</v>
      </c>
      <c r="D73">
        <v>94360</v>
      </c>
      <c r="E73">
        <v>7.36</v>
      </c>
      <c r="F73">
        <v>36851</v>
      </c>
      <c r="G73" s="1">
        <v>45565</v>
      </c>
      <c r="H73">
        <f>Engagement_Summary[[#This Row],[New_Followers]]-Engagement_Summary[[#This Row],[Unfollows]]</f>
        <v>1706</v>
      </c>
    </row>
    <row r="74" spans="1:8" x14ac:dyDescent="0.2">
      <c r="A74" t="s">
        <v>31</v>
      </c>
      <c r="B74">
        <v>1939</v>
      </c>
      <c r="C74">
        <v>67</v>
      </c>
      <c r="D74">
        <v>187183</v>
      </c>
      <c r="E74">
        <v>6.25</v>
      </c>
      <c r="F74">
        <v>41215</v>
      </c>
      <c r="G74" s="1">
        <v>45572</v>
      </c>
      <c r="H74">
        <f>Engagement_Summary[[#This Row],[New_Followers]]-Engagement_Summary[[#This Row],[Unfollows]]</f>
        <v>1872</v>
      </c>
    </row>
    <row r="75" spans="1:8" x14ac:dyDescent="0.2">
      <c r="A75" t="s">
        <v>38</v>
      </c>
      <c r="B75">
        <v>1929</v>
      </c>
      <c r="C75">
        <v>267</v>
      </c>
      <c r="D75">
        <v>379363</v>
      </c>
      <c r="E75">
        <v>1.75</v>
      </c>
      <c r="F75">
        <v>43836</v>
      </c>
      <c r="G75" s="1">
        <v>45572</v>
      </c>
      <c r="H75">
        <f>Engagement_Summary[[#This Row],[New_Followers]]-Engagement_Summary[[#This Row],[Unfollows]]</f>
        <v>1662</v>
      </c>
    </row>
    <row r="76" spans="1:8" x14ac:dyDescent="0.2">
      <c r="A76" t="s">
        <v>14</v>
      </c>
      <c r="B76">
        <v>437</v>
      </c>
      <c r="C76">
        <v>330</v>
      </c>
      <c r="D76">
        <v>476486</v>
      </c>
      <c r="E76">
        <v>4.97</v>
      </c>
      <c r="F76">
        <v>4509</v>
      </c>
      <c r="G76" s="1">
        <v>45572</v>
      </c>
      <c r="H76">
        <f>Engagement_Summary[[#This Row],[New_Followers]]-Engagement_Summary[[#This Row],[Unfollows]]</f>
        <v>107</v>
      </c>
    </row>
    <row r="77" spans="1:8" x14ac:dyDescent="0.2">
      <c r="A77" t="s">
        <v>27</v>
      </c>
      <c r="B77">
        <v>307</v>
      </c>
      <c r="C77">
        <v>189</v>
      </c>
      <c r="D77">
        <v>117767</v>
      </c>
      <c r="E77">
        <v>9.3000000000000007</v>
      </c>
      <c r="F77">
        <v>27822</v>
      </c>
      <c r="G77" s="1">
        <v>45572</v>
      </c>
      <c r="H77">
        <f>Engagement_Summary[[#This Row],[New_Followers]]-Engagement_Summary[[#This Row],[Unfollows]]</f>
        <v>118</v>
      </c>
    </row>
    <row r="78" spans="1:8" x14ac:dyDescent="0.2">
      <c r="A78" t="s">
        <v>31</v>
      </c>
      <c r="B78">
        <v>1527</v>
      </c>
      <c r="C78">
        <v>303</v>
      </c>
      <c r="D78">
        <v>388555</v>
      </c>
      <c r="E78">
        <v>8.9</v>
      </c>
      <c r="F78">
        <v>36397</v>
      </c>
      <c r="G78" s="1">
        <v>45579</v>
      </c>
      <c r="H78">
        <f>Engagement_Summary[[#This Row],[New_Followers]]-Engagement_Summary[[#This Row],[Unfollows]]</f>
        <v>1224</v>
      </c>
    </row>
    <row r="79" spans="1:8" x14ac:dyDescent="0.2">
      <c r="A79" t="s">
        <v>38</v>
      </c>
      <c r="B79">
        <v>643</v>
      </c>
      <c r="C79">
        <v>358</v>
      </c>
      <c r="D79">
        <v>157599</v>
      </c>
      <c r="E79">
        <v>3.88</v>
      </c>
      <c r="F79">
        <v>7285</v>
      </c>
      <c r="G79" s="1">
        <v>45579</v>
      </c>
      <c r="H79">
        <f>Engagement_Summary[[#This Row],[New_Followers]]-Engagement_Summary[[#This Row],[Unfollows]]</f>
        <v>285</v>
      </c>
    </row>
    <row r="80" spans="1:8" x14ac:dyDescent="0.2">
      <c r="A80" t="s">
        <v>14</v>
      </c>
      <c r="B80">
        <v>201</v>
      </c>
      <c r="C80">
        <v>221</v>
      </c>
      <c r="D80">
        <v>309772</v>
      </c>
      <c r="E80">
        <v>5.9</v>
      </c>
      <c r="F80">
        <v>33174</v>
      </c>
      <c r="G80" s="1">
        <v>45579</v>
      </c>
      <c r="H80">
        <f>Engagement_Summary[[#This Row],[New_Followers]]-Engagement_Summary[[#This Row],[Unfollows]]</f>
        <v>-20</v>
      </c>
    </row>
    <row r="81" spans="1:8" x14ac:dyDescent="0.2">
      <c r="A81" t="s">
        <v>27</v>
      </c>
      <c r="B81">
        <v>414</v>
      </c>
      <c r="C81">
        <v>47</v>
      </c>
      <c r="D81">
        <v>199178</v>
      </c>
      <c r="E81">
        <v>1.53</v>
      </c>
      <c r="F81">
        <v>6742</v>
      </c>
      <c r="G81" s="1">
        <v>45579</v>
      </c>
      <c r="H81">
        <f>Engagement_Summary[[#This Row],[New_Followers]]-Engagement_Summary[[#This Row],[Unfollows]]</f>
        <v>367</v>
      </c>
    </row>
    <row r="82" spans="1:8" x14ac:dyDescent="0.2">
      <c r="A82" t="s">
        <v>31</v>
      </c>
      <c r="B82">
        <v>703</v>
      </c>
      <c r="C82">
        <v>441</v>
      </c>
      <c r="D82">
        <v>357089</v>
      </c>
      <c r="E82">
        <v>6.5</v>
      </c>
      <c r="F82">
        <v>32478</v>
      </c>
      <c r="G82" s="1">
        <v>45586</v>
      </c>
      <c r="H82">
        <f>Engagement_Summary[[#This Row],[New_Followers]]-Engagement_Summary[[#This Row],[Unfollows]]</f>
        <v>262</v>
      </c>
    </row>
    <row r="83" spans="1:8" x14ac:dyDescent="0.2">
      <c r="A83" t="s">
        <v>38</v>
      </c>
      <c r="B83">
        <v>508</v>
      </c>
      <c r="C83">
        <v>69</v>
      </c>
      <c r="D83">
        <v>23492</v>
      </c>
      <c r="E83">
        <v>3.16</v>
      </c>
      <c r="F83">
        <v>42824</v>
      </c>
      <c r="G83" s="1">
        <v>45586</v>
      </c>
      <c r="H83">
        <f>Engagement_Summary[[#This Row],[New_Followers]]-Engagement_Summary[[#This Row],[Unfollows]]</f>
        <v>439</v>
      </c>
    </row>
    <row r="84" spans="1:8" x14ac:dyDescent="0.2">
      <c r="A84" t="s">
        <v>14</v>
      </c>
      <c r="B84">
        <v>697</v>
      </c>
      <c r="C84">
        <v>61</v>
      </c>
      <c r="D84">
        <v>258287</v>
      </c>
      <c r="E84">
        <v>8.25</v>
      </c>
      <c r="F84">
        <v>21208</v>
      </c>
      <c r="G84" s="1">
        <v>45586</v>
      </c>
      <c r="H84">
        <f>Engagement_Summary[[#This Row],[New_Followers]]-Engagement_Summary[[#This Row],[Unfollows]]</f>
        <v>636</v>
      </c>
    </row>
    <row r="85" spans="1:8" x14ac:dyDescent="0.2">
      <c r="A85" t="s">
        <v>27</v>
      </c>
      <c r="B85">
        <v>1707</v>
      </c>
      <c r="C85">
        <v>223</v>
      </c>
      <c r="D85">
        <v>256910</v>
      </c>
      <c r="E85">
        <v>5.41</v>
      </c>
      <c r="F85">
        <v>44321</v>
      </c>
      <c r="G85" s="1">
        <v>45586</v>
      </c>
      <c r="H85">
        <f>Engagement_Summary[[#This Row],[New_Followers]]-Engagement_Summary[[#This Row],[Unfollows]]</f>
        <v>1484</v>
      </c>
    </row>
    <row r="86" spans="1:8" x14ac:dyDescent="0.2">
      <c r="A86" t="s">
        <v>31</v>
      </c>
      <c r="B86">
        <v>642</v>
      </c>
      <c r="C86">
        <v>66</v>
      </c>
      <c r="D86">
        <v>346522</v>
      </c>
      <c r="E86">
        <v>5.85</v>
      </c>
      <c r="F86">
        <v>13116</v>
      </c>
      <c r="G86" s="1">
        <v>45593</v>
      </c>
      <c r="H86">
        <f>Engagement_Summary[[#This Row],[New_Followers]]-Engagement_Summary[[#This Row],[Unfollows]]</f>
        <v>576</v>
      </c>
    </row>
    <row r="87" spans="1:8" x14ac:dyDescent="0.2">
      <c r="A87" t="s">
        <v>38</v>
      </c>
      <c r="B87">
        <v>859</v>
      </c>
      <c r="C87">
        <v>473</v>
      </c>
      <c r="D87">
        <v>209987</v>
      </c>
      <c r="E87">
        <v>4.46</v>
      </c>
      <c r="F87">
        <v>30214</v>
      </c>
      <c r="G87" s="1">
        <v>45593</v>
      </c>
      <c r="H87">
        <f>Engagement_Summary[[#This Row],[New_Followers]]-Engagement_Summary[[#This Row],[Unfollows]]</f>
        <v>386</v>
      </c>
    </row>
    <row r="88" spans="1:8" x14ac:dyDescent="0.2">
      <c r="A88" t="s">
        <v>14</v>
      </c>
      <c r="B88">
        <v>191</v>
      </c>
      <c r="C88">
        <v>154</v>
      </c>
      <c r="D88">
        <v>240550</v>
      </c>
      <c r="E88">
        <v>5.22</v>
      </c>
      <c r="F88">
        <v>15827</v>
      </c>
      <c r="G88" s="1">
        <v>45593</v>
      </c>
      <c r="H88">
        <f>Engagement_Summary[[#This Row],[New_Followers]]-Engagement_Summary[[#This Row],[Unfollows]]</f>
        <v>37</v>
      </c>
    </row>
    <row r="89" spans="1:8" x14ac:dyDescent="0.2">
      <c r="A89" t="s">
        <v>27</v>
      </c>
      <c r="B89">
        <v>1814</v>
      </c>
      <c r="C89">
        <v>157</v>
      </c>
      <c r="D89">
        <v>305827</v>
      </c>
      <c r="E89">
        <v>1.99</v>
      </c>
      <c r="F89">
        <v>46643</v>
      </c>
      <c r="G89" s="1">
        <v>45593</v>
      </c>
      <c r="H89">
        <f>Engagement_Summary[[#This Row],[New_Followers]]-Engagement_Summary[[#This Row],[Unfollows]]</f>
        <v>1657</v>
      </c>
    </row>
    <row r="90" spans="1:8" x14ac:dyDescent="0.2">
      <c r="A90" t="s">
        <v>31</v>
      </c>
      <c r="B90">
        <v>1466</v>
      </c>
      <c r="C90">
        <v>69</v>
      </c>
      <c r="D90">
        <v>54935</v>
      </c>
      <c r="E90">
        <v>6.85</v>
      </c>
      <c r="F90">
        <v>36484</v>
      </c>
      <c r="G90" s="1">
        <v>45600</v>
      </c>
      <c r="H90">
        <f>Engagement_Summary[[#This Row],[New_Followers]]-Engagement_Summary[[#This Row],[Unfollows]]</f>
        <v>1397</v>
      </c>
    </row>
    <row r="91" spans="1:8" x14ac:dyDescent="0.2">
      <c r="A91" t="s">
        <v>38</v>
      </c>
      <c r="B91">
        <v>947</v>
      </c>
      <c r="C91">
        <v>407</v>
      </c>
      <c r="D91">
        <v>319186</v>
      </c>
      <c r="E91">
        <v>3.32</v>
      </c>
      <c r="F91">
        <v>4996</v>
      </c>
      <c r="G91" s="1">
        <v>45600</v>
      </c>
      <c r="H91">
        <f>Engagement_Summary[[#This Row],[New_Followers]]-Engagement_Summary[[#This Row],[Unfollows]]</f>
        <v>540</v>
      </c>
    </row>
    <row r="92" spans="1:8" x14ac:dyDescent="0.2">
      <c r="A92" t="s">
        <v>14</v>
      </c>
      <c r="B92">
        <v>1821</v>
      </c>
      <c r="C92">
        <v>218</v>
      </c>
      <c r="D92">
        <v>439080</v>
      </c>
      <c r="E92">
        <v>5.68</v>
      </c>
      <c r="F92">
        <v>36095</v>
      </c>
      <c r="G92" s="1">
        <v>45600</v>
      </c>
      <c r="H92">
        <f>Engagement_Summary[[#This Row],[New_Followers]]-Engagement_Summary[[#This Row],[Unfollows]]</f>
        <v>1603</v>
      </c>
    </row>
    <row r="93" spans="1:8" x14ac:dyDescent="0.2">
      <c r="A93" t="s">
        <v>27</v>
      </c>
      <c r="B93">
        <v>1507</v>
      </c>
      <c r="C93">
        <v>463</v>
      </c>
      <c r="D93">
        <v>258944</v>
      </c>
      <c r="E93">
        <v>6.08</v>
      </c>
      <c r="F93">
        <v>16443</v>
      </c>
      <c r="G93" s="1">
        <v>45600</v>
      </c>
      <c r="H93">
        <f>Engagement_Summary[[#This Row],[New_Followers]]-Engagement_Summary[[#This Row],[Unfollows]]</f>
        <v>1044</v>
      </c>
    </row>
    <row r="94" spans="1:8" x14ac:dyDescent="0.2">
      <c r="A94" t="s">
        <v>31</v>
      </c>
      <c r="B94">
        <v>1075</v>
      </c>
      <c r="C94">
        <v>173</v>
      </c>
      <c r="D94">
        <v>51395</v>
      </c>
      <c r="E94">
        <v>4.66</v>
      </c>
      <c r="F94">
        <v>47812</v>
      </c>
      <c r="G94" s="1">
        <v>45607</v>
      </c>
      <c r="H94">
        <f>Engagement_Summary[[#This Row],[New_Followers]]-Engagement_Summary[[#This Row],[Unfollows]]</f>
        <v>902</v>
      </c>
    </row>
    <row r="95" spans="1:8" x14ac:dyDescent="0.2">
      <c r="A95" t="s">
        <v>38</v>
      </c>
      <c r="B95">
        <v>171</v>
      </c>
      <c r="C95">
        <v>277</v>
      </c>
      <c r="D95">
        <v>309483</v>
      </c>
      <c r="E95">
        <v>8.6999999999999993</v>
      </c>
      <c r="F95">
        <v>38452</v>
      </c>
      <c r="G95" s="1">
        <v>45607</v>
      </c>
      <c r="H95">
        <f>Engagement_Summary[[#This Row],[New_Followers]]-Engagement_Summary[[#This Row],[Unfollows]]</f>
        <v>-106</v>
      </c>
    </row>
    <row r="96" spans="1:8" x14ac:dyDescent="0.2">
      <c r="A96" t="s">
        <v>14</v>
      </c>
      <c r="B96">
        <v>1487</v>
      </c>
      <c r="C96">
        <v>337</v>
      </c>
      <c r="D96">
        <v>87305</v>
      </c>
      <c r="E96">
        <v>2.46</v>
      </c>
      <c r="F96">
        <v>30428</v>
      </c>
      <c r="G96" s="1">
        <v>45607</v>
      </c>
      <c r="H96">
        <f>Engagement_Summary[[#This Row],[New_Followers]]-Engagement_Summary[[#This Row],[Unfollows]]</f>
        <v>1150</v>
      </c>
    </row>
    <row r="97" spans="1:8" x14ac:dyDescent="0.2">
      <c r="A97" t="s">
        <v>27</v>
      </c>
      <c r="B97">
        <v>454</v>
      </c>
      <c r="C97">
        <v>105</v>
      </c>
      <c r="D97">
        <v>121091</v>
      </c>
      <c r="E97">
        <v>7.97</v>
      </c>
      <c r="F97">
        <v>9269</v>
      </c>
      <c r="G97" s="1">
        <v>45607</v>
      </c>
      <c r="H97">
        <f>Engagement_Summary[[#This Row],[New_Followers]]-Engagement_Summary[[#This Row],[Unfollows]]</f>
        <v>349</v>
      </c>
    </row>
    <row r="98" spans="1:8" x14ac:dyDescent="0.2">
      <c r="A98" t="s">
        <v>31</v>
      </c>
      <c r="B98">
        <v>187</v>
      </c>
      <c r="C98">
        <v>236</v>
      </c>
      <c r="D98">
        <v>51087</v>
      </c>
      <c r="E98">
        <v>9.41</v>
      </c>
      <c r="F98">
        <v>29533</v>
      </c>
      <c r="G98" s="1">
        <v>45614</v>
      </c>
      <c r="H98">
        <f>Engagement_Summary[[#This Row],[New_Followers]]-Engagement_Summary[[#This Row],[Unfollows]]</f>
        <v>-49</v>
      </c>
    </row>
    <row r="99" spans="1:8" x14ac:dyDescent="0.2">
      <c r="A99" t="s">
        <v>38</v>
      </c>
      <c r="B99">
        <v>513</v>
      </c>
      <c r="C99">
        <v>441</v>
      </c>
      <c r="D99">
        <v>338847</v>
      </c>
      <c r="E99">
        <v>2.68</v>
      </c>
      <c r="F99">
        <v>39997</v>
      </c>
      <c r="G99" s="1">
        <v>45614</v>
      </c>
      <c r="H99">
        <f>Engagement_Summary[[#This Row],[New_Followers]]-Engagement_Summary[[#This Row],[Unfollows]]</f>
        <v>72</v>
      </c>
    </row>
    <row r="100" spans="1:8" x14ac:dyDescent="0.2">
      <c r="A100" t="s">
        <v>14</v>
      </c>
      <c r="B100">
        <v>628</v>
      </c>
      <c r="C100">
        <v>183</v>
      </c>
      <c r="D100">
        <v>487523</v>
      </c>
      <c r="E100">
        <v>7.32</v>
      </c>
      <c r="F100">
        <v>5391</v>
      </c>
      <c r="G100" s="1">
        <v>45614</v>
      </c>
      <c r="H100">
        <f>Engagement_Summary[[#This Row],[New_Followers]]-Engagement_Summary[[#This Row],[Unfollows]]</f>
        <v>445</v>
      </c>
    </row>
    <row r="101" spans="1:8" x14ac:dyDescent="0.2">
      <c r="A101" t="s">
        <v>27</v>
      </c>
      <c r="B101">
        <v>278</v>
      </c>
      <c r="C101">
        <v>218</v>
      </c>
      <c r="D101">
        <v>301695</v>
      </c>
      <c r="E101">
        <v>4.68</v>
      </c>
      <c r="F101">
        <v>22373</v>
      </c>
      <c r="G101" s="1">
        <v>45614</v>
      </c>
      <c r="H101">
        <f>Engagement_Summary[[#This Row],[New_Followers]]-Engagement_Summary[[#This Row],[Unfollows]]</f>
        <v>60</v>
      </c>
    </row>
    <row r="102" spans="1:8" x14ac:dyDescent="0.2">
      <c r="A102" t="s">
        <v>31</v>
      </c>
      <c r="B102">
        <v>1854</v>
      </c>
      <c r="C102">
        <v>161</v>
      </c>
      <c r="D102">
        <v>282466</v>
      </c>
      <c r="E102">
        <v>5.17</v>
      </c>
      <c r="F102">
        <v>1810</v>
      </c>
      <c r="G102" s="1">
        <v>45621</v>
      </c>
      <c r="H102">
        <f>Engagement_Summary[[#This Row],[New_Followers]]-Engagement_Summary[[#This Row],[Unfollows]]</f>
        <v>1693</v>
      </c>
    </row>
    <row r="103" spans="1:8" x14ac:dyDescent="0.2">
      <c r="A103" t="s">
        <v>38</v>
      </c>
      <c r="B103">
        <v>1710</v>
      </c>
      <c r="C103">
        <v>378</v>
      </c>
      <c r="D103">
        <v>336661</v>
      </c>
      <c r="E103">
        <v>6.2</v>
      </c>
      <c r="F103">
        <v>28498</v>
      </c>
      <c r="G103" s="1">
        <v>45621</v>
      </c>
      <c r="H103">
        <f>Engagement_Summary[[#This Row],[New_Followers]]-Engagement_Summary[[#This Row],[Unfollows]]</f>
        <v>1332</v>
      </c>
    </row>
    <row r="104" spans="1:8" x14ac:dyDescent="0.2">
      <c r="A104" t="s">
        <v>14</v>
      </c>
      <c r="B104">
        <v>330</v>
      </c>
      <c r="C104">
        <v>232</v>
      </c>
      <c r="D104">
        <v>88455</v>
      </c>
      <c r="E104">
        <v>2.69</v>
      </c>
      <c r="F104">
        <v>39530</v>
      </c>
      <c r="G104" s="1">
        <v>45621</v>
      </c>
      <c r="H104">
        <f>Engagement_Summary[[#This Row],[New_Followers]]-Engagement_Summary[[#This Row],[Unfollows]]</f>
        <v>98</v>
      </c>
    </row>
    <row r="105" spans="1:8" x14ac:dyDescent="0.2">
      <c r="A105" t="s">
        <v>27</v>
      </c>
      <c r="B105">
        <v>1293</v>
      </c>
      <c r="C105">
        <v>408</v>
      </c>
      <c r="D105">
        <v>62535</v>
      </c>
      <c r="E105">
        <v>8.9</v>
      </c>
      <c r="F105">
        <v>37876</v>
      </c>
      <c r="G105" s="1">
        <v>45621</v>
      </c>
      <c r="H105">
        <f>Engagement_Summary[[#This Row],[New_Followers]]-Engagement_Summary[[#This Row],[Unfollows]]</f>
        <v>885</v>
      </c>
    </row>
    <row r="106" spans="1:8" x14ac:dyDescent="0.2">
      <c r="A106" t="s">
        <v>31</v>
      </c>
      <c r="B106">
        <v>1696</v>
      </c>
      <c r="C106">
        <v>71</v>
      </c>
      <c r="D106">
        <v>421957</v>
      </c>
      <c r="E106">
        <v>3.79</v>
      </c>
      <c r="F106">
        <v>36103</v>
      </c>
      <c r="G106" s="1">
        <v>45628</v>
      </c>
      <c r="H106">
        <f>Engagement_Summary[[#This Row],[New_Followers]]-Engagement_Summary[[#This Row],[Unfollows]]</f>
        <v>1625</v>
      </c>
    </row>
    <row r="107" spans="1:8" x14ac:dyDescent="0.2">
      <c r="A107" t="s">
        <v>38</v>
      </c>
      <c r="B107">
        <v>1902</v>
      </c>
      <c r="C107">
        <v>196</v>
      </c>
      <c r="D107">
        <v>470269</v>
      </c>
      <c r="E107">
        <v>4.79</v>
      </c>
      <c r="F107">
        <v>26103</v>
      </c>
      <c r="G107" s="1">
        <v>45628</v>
      </c>
      <c r="H107">
        <f>Engagement_Summary[[#This Row],[New_Followers]]-Engagement_Summary[[#This Row],[Unfollows]]</f>
        <v>1706</v>
      </c>
    </row>
    <row r="108" spans="1:8" x14ac:dyDescent="0.2">
      <c r="A108" t="s">
        <v>14</v>
      </c>
      <c r="B108">
        <v>1441</v>
      </c>
      <c r="C108">
        <v>268</v>
      </c>
      <c r="D108">
        <v>309904</v>
      </c>
      <c r="E108">
        <v>6.37</v>
      </c>
      <c r="F108">
        <v>3455</v>
      </c>
      <c r="G108" s="1">
        <v>45628</v>
      </c>
      <c r="H108">
        <f>Engagement_Summary[[#This Row],[New_Followers]]-Engagement_Summary[[#This Row],[Unfollows]]</f>
        <v>1173</v>
      </c>
    </row>
    <row r="109" spans="1:8" x14ac:dyDescent="0.2">
      <c r="A109" t="s">
        <v>27</v>
      </c>
      <c r="B109">
        <v>452</v>
      </c>
      <c r="C109">
        <v>161</v>
      </c>
      <c r="D109">
        <v>221274</v>
      </c>
      <c r="E109">
        <v>2.65</v>
      </c>
      <c r="F109">
        <v>40888</v>
      </c>
      <c r="G109" s="1">
        <v>45628</v>
      </c>
      <c r="H109">
        <f>Engagement_Summary[[#This Row],[New_Followers]]-Engagement_Summary[[#This Row],[Unfollows]]</f>
        <v>291</v>
      </c>
    </row>
    <row r="110" spans="1:8" x14ac:dyDescent="0.2">
      <c r="A110" t="s">
        <v>31</v>
      </c>
      <c r="B110">
        <v>1494</v>
      </c>
      <c r="C110">
        <v>375</v>
      </c>
      <c r="D110">
        <v>220616</v>
      </c>
      <c r="E110">
        <v>1.81</v>
      </c>
      <c r="F110">
        <v>22724</v>
      </c>
      <c r="G110" s="1">
        <v>45635</v>
      </c>
      <c r="H110">
        <f>Engagement_Summary[[#This Row],[New_Followers]]-Engagement_Summary[[#This Row],[Unfollows]]</f>
        <v>1119</v>
      </c>
    </row>
    <row r="111" spans="1:8" x14ac:dyDescent="0.2">
      <c r="A111" t="s">
        <v>38</v>
      </c>
      <c r="B111">
        <v>1514</v>
      </c>
      <c r="C111">
        <v>141</v>
      </c>
      <c r="D111">
        <v>35842</v>
      </c>
      <c r="E111">
        <v>7.47</v>
      </c>
      <c r="F111">
        <v>18601</v>
      </c>
      <c r="G111" s="1">
        <v>45635</v>
      </c>
      <c r="H111">
        <f>Engagement_Summary[[#This Row],[New_Followers]]-Engagement_Summary[[#This Row],[Unfollows]]</f>
        <v>1373</v>
      </c>
    </row>
    <row r="112" spans="1:8" x14ac:dyDescent="0.2">
      <c r="A112" t="s">
        <v>14</v>
      </c>
      <c r="B112">
        <v>1937</v>
      </c>
      <c r="C112">
        <v>210</v>
      </c>
      <c r="D112">
        <v>20607</v>
      </c>
      <c r="E112">
        <v>4.2</v>
      </c>
      <c r="F112">
        <v>20861</v>
      </c>
      <c r="G112" s="1">
        <v>45635</v>
      </c>
      <c r="H112">
        <f>Engagement_Summary[[#This Row],[New_Followers]]-Engagement_Summary[[#This Row],[Unfollows]]</f>
        <v>1727</v>
      </c>
    </row>
    <row r="113" spans="1:8" x14ac:dyDescent="0.2">
      <c r="A113" t="s">
        <v>27</v>
      </c>
      <c r="B113">
        <v>736</v>
      </c>
      <c r="C113">
        <v>163</v>
      </c>
      <c r="D113">
        <v>451894</v>
      </c>
      <c r="E113">
        <v>5.43</v>
      </c>
      <c r="F113">
        <v>46625</v>
      </c>
      <c r="G113" s="1">
        <v>45635</v>
      </c>
      <c r="H113">
        <f>Engagement_Summary[[#This Row],[New_Followers]]-Engagement_Summary[[#This Row],[Unfollows]]</f>
        <v>573</v>
      </c>
    </row>
    <row r="114" spans="1:8" x14ac:dyDescent="0.2">
      <c r="A114" t="s">
        <v>31</v>
      </c>
      <c r="B114">
        <v>1502</v>
      </c>
      <c r="C114">
        <v>70</v>
      </c>
      <c r="D114">
        <v>465553</v>
      </c>
      <c r="E114">
        <v>3.32</v>
      </c>
      <c r="F114">
        <v>20692</v>
      </c>
      <c r="G114" s="1">
        <v>45642</v>
      </c>
      <c r="H114">
        <f>Engagement_Summary[[#This Row],[New_Followers]]-Engagement_Summary[[#This Row],[Unfollows]]</f>
        <v>1432</v>
      </c>
    </row>
    <row r="115" spans="1:8" x14ac:dyDescent="0.2">
      <c r="A115" t="s">
        <v>38</v>
      </c>
      <c r="B115">
        <v>1623</v>
      </c>
      <c r="C115">
        <v>246</v>
      </c>
      <c r="D115">
        <v>415815</v>
      </c>
      <c r="E115">
        <v>8.11</v>
      </c>
      <c r="F115">
        <v>18656</v>
      </c>
      <c r="G115" s="1">
        <v>45642</v>
      </c>
      <c r="H115">
        <f>Engagement_Summary[[#This Row],[New_Followers]]-Engagement_Summary[[#This Row],[Unfollows]]</f>
        <v>1377</v>
      </c>
    </row>
    <row r="116" spans="1:8" x14ac:dyDescent="0.2">
      <c r="A116" t="s">
        <v>14</v>
      </c>
      <c r="B116">
        <v>1592</v>
      </c>
      <c r="C116">
        <v>233</v>
      </c>
      <c r="D116">
        <v>327183</v>
      </c>
      <c r="E116">
        <v>6.66</v>
      </c>
      <c r="F116">
        <v>13316</v>
      </c>
      <c r="G116" s="1">
        <v>45642</v>
      </c>
      <c r="H116">
        <f>Engagement_Summary[[#This Row],[New_Followers]]-Engagement_Summary[[#This Row],[Unfollows]]</f>
        <v>1359</v>
      </c>
    </row>
    <row r="117" spans="1:8" x14ac:dyDescent="0.2">
      <c r="A117" t="s">
        <v>27</v>
      </c>
      <c r="B117">
        <v>1004</v>
      </c>
      <c r="C117">
        <v>128</v>
      </c>
      <c r="D117">
        <v>488901</v>
      </c>
      <c r="E117">
        <v>8.09</v>
      </c>
      <c r="F117">
        <v>49558</v>
      </c>
      <c r="G117" s="1">
        <v>45642</v>
      </c>
      <c r="H117">
        <f>Engagement_Summary[[#This Row],[New_Followers]]-Engagement_Summary[[#This Row],[Unfollows]]</f>
        <v>876</v>
      </c>
    </row>
    <row r="118" spans="1:8" x14ac:dyDescent="0.2">
      <c r="A118" t="s">
        <v>31</v>
      </c>
      <c r="B118">
        <v>1092</v>
      </c>
      <c r="C118">
        <v>408</v>
      </c>
      <c r="D118">
        <v>280795</v>
      </c>
      <c r="E118">
        <v>8.44</v>
      </c>
      <c r="F118">
        <v>4683</v>
      </c>
      <c r="G118" s="1">
        <v>45649</v>
      </c>
      <c r="H118">
        <f>Engagement_Summary[[#This Row],[New_Followers]]-Engagement_Summary[[#This Row],[Unfollows]]</f>
        <v>684</v>
      </c>
    </row>
    <row r="119" spans="1:8" x14ac:dyDescent="0.2">
      <c r="A119" t="s">
        <v>38</v>
      </c>
      <c r="B119">
        <v>1155</v>
      </c>
      <c r="C119">
        <v>425</v>
      </c>
      <c r="D119">
        <v>93347</v>
      </c>
      <c r="E119">
        <v>2.02</v>
      </c>
      <c r="F119">
        <v>47502</v>
      </c>
      <c r="G119" s="1">
        <v>45649</v>
      </c>
      <c r="H119">
        <f>Engagement_Summary[[#This Row],[New_Followers]]-Engagement_Summary[[#This Row],[Unfollows]]</f>
        <v>730</v>
      </c>
    </row>
    <row r="120" spans="1:8" x14ac:dyDescent="0.2">
      <c r="A120" t="s">
        <v>14</v>
      </c>
      <c r="B120">
        <v>1137</v>
      </c>
      <c r="C120">
        <v>226</v>
      </c>
      <c r="D120">
        <v>81119</v>
      </c>
      <c r="E120">
        <v>7.74</v>
      </c>
      <c r="F120">
        <v>35359</v>
      </c>
      <c r="G120" s="1">
        <v>45649</v>
      </c>
      <c r="H120">
        <f>Engagement_Summary[[#This Row],[New_Followers]]-Engagement_Summary[[#This Row],[Unfollows]]</f>
        <v>911</v>
      </c>
    </row>
    <row r="121" spans="1:8" x14ac:dyDescent="0.2">
      <c r="A121" t="s">
        <v>27</v>
      </c>
      <c r="B121">
        <v>1900</v>
      </c>
      <c r="C121">
        <v>311</v>
      </c>
      <c r="D121">
        <v>25177</v>
      </c>
      <c r="E121">
        <v>2.89</v>
      </c>
      <c r="F121">
        <v>14154</v>
      </c>
      <c r="G121" s="1">
        <v>45649</v>
      </c>
      <c r="H121">
        <f>Engagement_Summary[[#This Row],[New_Followers]]-Engagement_Summary[[#This Row],[Unfollows]]</f>
        <v>1589</v>
      </c>
    </row>
    <row r="122" spans="1:8" x14ac:dyDescent="0.2">
      <c r="A122" t="s">
        <v>31</v>
      </c>
      <c r="B122">
        <v>1814</v>
      </c>
      <c r="C122">
        <v>49</v>
      </c>
      <c r="D122">
        <v>140804</v>
      </c>
      <c r="E122">
        <v>1.76</v>
      </c>
      <c r="F122">
        <v>4313</v>
      </c>
      <c r="G122" s="1">
        <v>45656</v>
      </c>
      <c r="H122">
        <f>Engagement_Summary[[#This Row],[New_Followers]]-Engagement_Summary[[#This Row],[Unfollows]]</f>
        <v>1765</v>
      </c>
    </row>
    <row r="123" spans="1:8" x14ac:dyDescent="0.2">
      <c r="A123" t="s">
        <v>38</v>
      </c>
      <c r="B123">
        <v>1980</v>
      </c>
      <c r="C123">
        <v>204</v>
      </c>
      <c r="D123">
        <v>379431</v>
      </c>
      <c r="E123">
        <v>3.09</v>
      </c>
      <c r="F123">
        <v>25140</v>
      </c>
      <c r="G123" s="1">
        <v>45656</v>
      </c>
      <c r="H123">
        <f>Engagement_Summary[[#This Row],[New_Followers]]-Engagement_Summary[[#This Row],[Unfollows]]</f>
        <v>1776</v>
      </c>
    </row>
    <row r="124" spans="1:8" x14ac:dyDescent="0.2">
      <c r="A124" t="s">
        <v>14</v>
      </c>
      <c r="B124">
        <v>1786</v>
      </c>
      <c r="C124">
        <v>257</v>
      </c>
      <c r="D124">
        <v>274831</v>
      </c>
      <c r="E124">
        <v>4.68</v>
      </c>
      <c r="F124">
        <v>9118</v>
      </c>
      <c r="G124" s="1">
        <v>45656</v>
      </c>
      <c r="H124">
        <f>Engagement_Summary[[#This Row],[New_Followers]]-Engagement_Summary[[#This Row],[Unfollows]]</f>
        <v>1529</v>
      </c>
    </row>
    <row r="125" spans="1:8" x14ac:dyDescent="0.2">
      <c r="A125" t="s">
        <v>27</v>
      </c>
      <c r="B125">
        <v>1495</v>
      </c>
      <c r="C125">
        <v>35</v>
      </c>
      <c r="D125">
        <v>136845</v>
      </c>
      <c r="E125">
        <v>4.4800000000000004</v>
      </c>
      <c r="F125">
        <v>39931</v>
      </c>
      <c r="G125" s="1">
        <v>45656</v>
      </c>
      <c r="H125">
        <f>Engagement_Summary[[#This Row],[New_Followers]]-Engagement_Summary[[#This Row],[Unfollows]]</f>
        <v>1460</v>
      </c>
    </row>
    <row r="126" spans="1:8" x14ac:dyDescent="0.2">
      <c r="A126" t="s">
        <v>31</v>
      </c>
      <c r="B126">
        <v>1013</v>
      </c>
      <c r="C126">
        <v>110</v>
      </c>
      <c r="D126">
        <v>466382</v>
      </c>
      <c r="E126">
        <v>5.3</v>
      </c>
      <c r="F126">
        <v>37132</v>
      </c>
      <c r="G126" s="1">
        <v>45663</v>
      </c>
      <c r="H126">
        <f>Engagement_Summary[[#This Row],[New_Followers]]-Engagement_Summary[[#This Row],[Unfollows]]</f>
        <v>903</v>
      </c>
    </row>
    <row r="127" spans="1:8" x14ac:dyDescent="0.2">
      <c r="A127" t="s">
        <v>38</v>
      </c>
      <c r="B127">
        <v>816</v>
      </c>
      <c r="C127">
        <v>196</v>
      </c>
      <c r="D127">
        <v>95728</v>
      </c>
      <c r="E127">
        <v>8.1999999999999993</v>
      </c>
      <c r="F127">
        <v>17951</v>
      </c>
      <c r="G127" s="1">
        <v>45663</v>
      </c>
      <c r="H127">
        <f>Engagement_Summary[[#This Row],[New_Followers]]-Engagement_Summary[[#This Row],[Unfollows]]</f>
        <v>620</v>
      </c>
    </row>
    <row r="128" spans="1:8" x14ac:dyDescent="0.2">
      <c r="A128" t="s">
        <v>14</v>
      </c>
      <c r="B128">
        <v>1633</v>
      </c>
      <c r="C128">
        <v>445</v>
      </c>
      <c r="D128">
        <v>371156</v>
      </c>
      <c r="E128">
        <v>2.2200000000000002</v>
      </c>
      <c r="F128">
        <v>2798</v>
      </c>
      <c r="G128" s="1">
        <v>45663</v>
      </c>
      <c r="H128">
        <f>Engagement_Summary[[#This Row],[New_Followers]]-Engagement_Summary[[#This Row],[Unfollows]]</f>
        <v>1188</v>
      </c>
    </row>
    <row r="129" spans="1:8" x14ac:dyDescent="0.2">
      <c r="A129" t="s">
        <v>27</v>
      </c>
      <c r="B129">
        <v>891</v>
      </c>
      <c r="C129">
        <v>45</v>
      </c>
      <c r="D129">
        <v>95410</v>
      </c>
      <c r="E129">
        <v>8.33</v>
      </c>
      <c r="F129">
        <v>15045</v>
      </c>
      <c r="G129" s="1">
        <v>45663</v>
      </c>
      <c r="H129">
        <f>Engagement_Summary[[#This Row],[New_Followers]]-Engagement_Summary[[#This Row],[Unfollows]]</f>
        <v>846</v>
      </c>
    </row>
    <row r="130" spans="1:8" x14ac:dyDescent="0.2">
      <c r="A130" t="s">
        <v>31</v>
      </c>
      <c r="B130">
        <v>1855</v>
      </c>
      <c r="C130">
        <v>133</v>
      </c>
      <c r="D130">
        <v>349413</v>
      </c>
      <c r="E130">
        <v>3.3</v>
      </c>
      <c r="F130">
        <v>14548</v>
      </c>
      <c r="G130" s="1">
        <v>45670</v>
      </c>
      <c r="H130">
        <f>Engagement_Summary[[#This Row],[New_Followers]]-Engagement_Summary[[#This Row],[Unfollows]]</f>
        <v>1722</v>
      </c>
    </row>
    <row r="131" spans="1:8" x14ac:dyDescent="0.2">
      <c r="A131" t="s">
        <v>38</v>
      </c>
      <c r="B131">
        <v>651</v>
      </c>
      <c r="C131">
        <v>353</v>
      </c>
      <c r="D131">
        <v>224699</v>
      </c>
      <c r="E131">
        <v>5.61</v>
      </c>
      <c r="F131">
        <v>45708</v>
      </c>
      <c r="G131" s="1">
        <v>45670</v>
      </c>
      <c r="H131">
        <f>Engagement_Summary[[#This Row],[New_Followers]]-Engagement_Summary[[#This Row],[Unfollows]]</f>
        <v>298</v>
      </c>
    </row>
    <row r="132" spans="1:8" x14ac:dyDescent="0.2">
      <c r="A132" t="s">
        <v>14</v>
      </c>
      <c r="B132">
        <v>118</v>
      </c>
      <c r="C132">
        <v>262</v>
      </c>
      <c r="D132">
        <v>487896</v>
      </c>
      <c r="E132">
        <v>2.56</v>
      </c>
      <c r="F132">
        <v>12350</v>
      </c>
      <c r="G132" s="1">
        <v>45670</v>
      </c>
      <c r="H132">
        <f>Engagement_Summary[[#This Row],[New_Followers]]-Engagement_Summary[[#This Row],[Unfollows]]</f>
        <v>-144</v>
      </c>
    </row>
    <row r="133" spans="1:8" x14ac:dyDescent="0.2">
      <c r="A133" t="s">
        <v>27</v>
      </c>
      <c r="B133">
        <v>1331</v>
      </c>
      <c r="C133">
        <v>430</v>
      </c>
      <c r="D133">
        <v>14437</v>
      </c>
      <c r="E133">
        <v>3.29</v>
      </c>
      <c r="F133">
        <v>40868</v>
      </c>
      <c r="G133" s="1">
        <v>45670</v>
      </c>
      <c r="H133">
        <f>Engagement_Summary[[#This Row],[New_Followers]]-Engagement_Summary[[#This Row],[Unfollows]]</f>
        <v>901</v>
      </c>
    </row>
    <row r="134" spans="1:8" x14ac:dyDescent="0.2">
      <c r="A134" t="s">
        <v>31</v>
      </c>
      <c r="B134">
        <v>1748</v>
      </c>
      <c r="C134">
        <v>176</v>
      </c>
      <c r="D134">
        <v>383681</v>
      </c>
      <c r="E134">
        <v>9.24</v>
      </c>
      <c r="F134">
        <v>43122</v>
      </c>
      <c r="G134" s="1">
        <v>45677</v>
      </c>
      <c r="H134">
        <f>Engagement_Summary[[#This Row],[New_Followers]]-Engagement_Summary[[#This Row],[Unfollows]]</f>
        <v>1572</v>
      </c>
    </row>
    <row r="135" spans="1:8" x14ac:dyDescent="0.2">
      <c r="A135" t="s">
        <v>38</v>
      </c>
      <c r="B135">
        <v>663</v>
      </c>
      <c r="C135">
        <v>236</v>
      </c>
      <c r="D135">
        <v>479490</v>
      </c>
      <c r="E135">
        <v>4.51</v>
      </c>
      <c r="F135">
        <v>23853</v>
      </c>
      <c r="G135" s="1">
        <v>45677</v>
      </c>
      <c r="H135">
        <f>Engagement_Summary[[#This Row],[New_Followers]]-Engagement_Summary[[#This Row],[Unfollows]]</f>
        <v>427</v>
      </c>
    </row>
    <row r="136" spans="1:8" x14ac:dyDescent="0.2">
      <c r="A136" t="s">
        <v>14</v>
      </c>
      <c r="B136">
        <v>1040</v>
      </c>
      <c r="C136">
        <v>149</v>
      </c>
      <c r="D136">
        <v>124404</v>
      </c>
      <c r="E136">
        <v>5.23</v>
      </c>
      <c r="F136">
        <v>45380</v>
      </c>
      <c r="G136" s="1">
        <v>45677</v>
      </c>
      <c r="H136">
        <f>Engagement_Summary[[#This Row],[New_Followers]]-Engagement_Summary[[#This Row],[Unfollows]]</f>
        <v>891</v>
      </c>
    </row>
    <row r="137" spans="1:8" x14ac:dyDescent="0.2">
      <c r="A137" t="s">
        <v>27</v>
      </c>
      <c r="B137">
        <v>1166</v>
      </c>
      <c r="C137">
        <v>442</v>
      </c>
      <c r="D137">
        <v>336949</v>
      </c>
      <c r="E137">
        <v>4.68</v>
      </c>
      <c r="F137">
        <v>7705</v>
      </c>
      <c r="G137" s="1">
        <v>45677</v>
      </c>
      <c r="H137">
        <f>Engagement_Summary[[#This Row],[New_Followers]]-Engagement_Summary[[#This Row],[Unfollows]]</f>
        <v>724</v>
      </c>
    </row>
    <row r="138" spans="1:8" x14ac:dyDescent="0.2">
      <c r="A138" t="s">
        <v>31</v>
      </c>
      <c r="B138">
        <v>115</v>
      </c>
      <c r="C138">
        <v>281</v>
      </c>
      <c r="D138">
        <v>357265</v>
      </c>
      <c r="E138">
        <v>9.23</v>
      </c>
      <c r="F138">
        <v>25525</v>
      </c>
      <c r="G138" s="1">
        <v>45684</v>
      </c>
      <c r="H138">
        <f>Engagement_Summary[[#This Row],[New_Followers]]-Engagement_Summary[[#This Row],[Unfollows]]</f>
        <v>-166</v>
      </c>
    </row>
    <row r="139" spans="1:8" x14ac:dyDescent="0.2">
      <c r="A139" t="s">
        <v>38</v>
      </c>
      <c r="B139">
        <v>1249</v>
      </c>
      <c r="C139">
        <v>351</v>
      </c>
      <c r="D139">
        <v>321307</v>
      </c>
      <c r="E139">
        <v>6.37</v>
      </c>
      <c r="F139">
        <v>20560</v>
      </c>
      <c r="G139" s="1">
        <v>45684</v>
      </c>
      <c r="H139">
        <f>Engagement_Summary[[#This Row],[New_Followers]]-Engagement_Summary[[#This Row],[Unfollows]]</f>
        <v>898</v>
      </c>
    </row>
    <row r="140" spans="1:8" x14ac:dyDescent="0.2">
      <c r="A140" t="s">
        <v>14</v>
      </c>
      <c r="B140">
        <v>1501</v>
      </c>
      <c r="C140">
        <v>75</v>
      </c>
      <c r="D140">
        <v>262569</v>
      </c>
      <c r="E140">
        <v>2.0099999999999998</v>
      </c>
      <c r="F140">
        <v>19119</v>
      </c>
      <c r="G140" s="1">
        <v>45684</v>
      </c>
      <c r="H140">
        <f>Engagement_Summary[[#This Row],[New_Followers]]-Engagement_Summary[[#This Row],[Unfollows]]</f>
        <v>1426</v>
      </c>
    </row>
    <row r="141" spans="1:8" x14ac:dyDescent="0.2">
      <c r="A141" t="s">
        <v>27</v>
      </c>
      <c r="B141">
        <v>1411</v>
      </c>
      <c r="C141">
        <v>186</v>
      </c>
      <c r="D141">
        <v>461669</v>
      </c>
      <c r="E141">
        <v>3.72</v>
      </c>
      <c r="F141">
        <v>43999</v>
      </c>
      <c r="G141" s="1">
        <v>45684</v>
      </c>
      <c r="H141">
        <f>Engagement_Summary[[#This Row],[New_Followers]]-Engagement_Summary[[#This Row],[Unfollows]]</f>
        <v>1225</v>
      </c>
    </row>
    <row r="142" spans="1:8" x14ac:dyDescent="0.2">
      <c r="A142" t="s">
        <v>31</v>
      </c>
      <c r="B142">
        <v>1556</v>
      </c>
      <c r="C142">
        <v>476</v>
      </c>
      <c r="D142">
        <v>351556</v>
      </c>
      <c r="E142">
        <v>3.89</v>
      </c>
      <c r="F142">
        <v>10825</v>
      </c>
      <c r="G142" s="1">
        <v>45691</v>
      </c>
      <c r="H142">
        <f>Engagement_Summary[[#This Row],[New_Followers]]-Engagement_Summary[[#This Row],[Unfollows]]</f>
        <v>1080</v>
      </c>
    </row>
    <row r="143" spans="1:8" x14ac:dyDescent="0.2">
      <c r="A143" t="s">
        <v>38</v>
      </c>
      <c r="B143">
        <v>1159</v>
      </c>
      <c r="C143">
        <v>411</v>
      </c>
      <c r="D143">
        <v>135987</v>
      </c>
      <c r="E143">
        <v>8.6999999999999993</v>
      </c>
      <c r="F143">
        <v>40323</v>
      </c>
      <c r="G143" s="1">
        <v>45691</v>
      </c>
      <c r="H143">
        <f>Engagement_Summary[[#This Row],[New_Followers]]-Engagement_Summary[[#This Row],[Unfollows]]</f>
        <v>748</v>
      </c>
    </row>
    <row r="144" spans="1:8" x14ac:dyDescent="0.2">
      <c r="A144" t="s">
        <v>14</v>
      </c>
      <c r="B144">
        <v>927</v>
      </c>
      <c r="C144">
        <v>358</v>
      </c>
      <c r="D144">
        <v>177554</v>
      </c>
      <c r="E144">
        <v>6.95</v>
      </c>
      <c r="F144">
        <v>48270</v>
      </c>
      <c r="G144" s="1">
        <v>45691</v>
      </c>
      <c r="H144">
        <f>Engagement_Summary[[#This Row],[New_Followers]]-Engagement_Summary[[#This Row],[Unfollows]]</f>
        <v>569</v>
      </c>
    </row>
    <row r="145" spans="1:8" x14ac:dyDescent="0.2">
      <c r="A145" t="s">
        <v>27</v>
      </c>
      <c r="B145">
        <v>152</v>
      </c>
      <c r="C145">
        <v>355</v>
      </c>
      <c r="D145">
        <v>270766</v>
      </c>
      <c r="E145">
        <v>9.48</v>
      </c>
      <c r="F145">
        <v>18001</v>
      </c>
      <c r="G145" s="1">
        <v>45691</v>
      </c>
      <c r="H145">
        <f>Engagement_Summary[[#This Row],[New_Followers]]-Engagement_Summary[[#This Row],[Unfollows]]</f>
        <v>-203</v>
      </c>
    </row>
    <row r="146" spans="1:8" x14ac:dyDescent="0.2">
      <c r="A146" t="s">
        <v>31</v>
      </c>
      <c r="B146">
        <v>1957</v>
      </c>
      <c r="C146">
        <v>234</v>
      </c>
      <c r="D146">
        <v>222126</v>
      </c>
      <c r="E146">
        <v>4.6100000000000003</v>
      </c>
      <c r="F146">
        <v>3314</v>
      </c>
      <c r="G146" s="1">
        <v>45698</v>
      </c>
      <c r="H146">
        <f>Engagement_Summary[[#This Row],[New_Followers]]-Engagement_Summary[[#This Row],[Unfollows]]</f>
        <v>1723</v>
      </c>
    </row>
    <row r="147" spans="1:8" x14ac:dyDescent="0.2">
      <c r="A147" t="s">
        <v>38</v>
      </c>
      <c r="B147">
        <v>1294</v>
      </c>
      <c r="C147">
        <v>382</v>
      </c>
      <c r="D147">
        <v>309914</v>
      </c>
      <c r="E147">
        <v>8.0299999999999994</v>
      </c>
      <c r="F147">
        <v>23489</v>
      </c>
      <c r="G147" s="1">
        <v>45698</v>
      </c>
      <c r="H147">
        <f>Engagement_Summary[[#This Row],[New_Followers]]-Engagement_Summary[[#This Row],[Unfollows]]</f>
        <v>912</v>
      </c>
    </row>
    <row r="148" spans="1:8" x14ac:dyDescent="0.2">
      <c r="A148" t="s">
        <v>14</v>
      </c>
      <c r="B148">
        <v>1587</v>
      </c>
      <c r="C148">
        <v>385</v>
      </c>
      <c r="D148">
        <v>126582</v>
      </c>
      <c r="E148">
        <v>6.99</v>
      </c>
      <c r="F148">
        <v>42832</v>
      </c>
      <c r="G148" s="1">
        <v>45698</v>
      </c>
      <c r="H148">
        <f>Engagement_Summary[[#This Row],[New_Followers]]-Engagement_Summary[[#This Row],[Unfollows]]</f>
        <v>1202</v>
      </c>
    </row>
    <row r="149" spans="1:8" x14ac:dyDescent="0.2">
      <c r="A149" t="s">
        <v>27</v>
      </c>
      <c r="B149">
        <v>1707</v>
      </c>
      <c r="C149">
        <v>263</v>
      </c>
      <c r="D149">
        <v>485280</v>
      </c>
      <c r="E149">
        <v>9.0299999999999994</v>
      </c>
      <c r="F149">
        <v>24494</v>
      </c>
      <c r="G149" s="1">
        <v>45698</v>
      </c>
      <c r="H149">
        <f>Engagement_Summary[[#This Row],[New_Followers]]-Engagement_Summary[[#This Row],[Unfollows]]</f>
        <v>1444</v>
      </c>
    </row>
    <row r="150" spans="1:8" x14ac:dyDescent="0.2">
      <c r="A150" t="s">
        <v>31</v>
      </c>
      <c r="B150">
        <v>1138</v>
      </c>
      <c r="C150">
        <v>173</v>
      </c>
      <c r="D150">
        <v>453243</v>
      </c>
      <c r="E150">
        <v>2.86</v>
      </c>
      <c r="F150">
        <v>44097</v>
      </c>
      <c r="G150" s="1">
        <v>45705</v>
      </c>
      <c r="H150">
        <f>Engagement_Summary[[#This Row],[New_Followers]]-Engagement_Summary[[#This Row],[Unfollows]]</f>
        <v>965</v>
      </c>
    </row>
    <row r="151" spans="1:8" x14ac:dyDescent="0.2">
      <c r="A151" t="s">
        <v>38</v>
      </c>
      <c r="B151">
        <v>1895</v>
      </c>
      <c r="C151">
        <v>305</v>
      </c>
      <c r="D151">
        <v>104967</v>
      </c>
      <c r="E151">
        <v>3.85</v>
      </c>
      <c r="F151">
        <v>31853</v>
      </c>
      <c r="G151" s="1">
        <v>45705</v>
      </c>
      <c r="H151">
        <f>Engagement_Summary[[#This Row],[New_Followers]]-Engagement_Summary[[#This Row],[Unfollows]]</f>
        <v>1590</v>
      </c>
    </row>
    <row r="152" spans="1:8" x14ac:dyDescent="0.2">
      <c r="A152" t="s">
        <v>14</v>
      </c>
      <c r="B152">
        <v>362</v>
      </c>
      <c r="C152">
        <v>399</v>
      </c>
      <c r="D152">
        <v>145608</v>
      </c>
      <c r="E152">
        <v>7.3</v>
      </c>
      <c r="F152">
        <v>37636</v>
      </c>
      <c r="G152" s="1">
        <v>45705</v>
      </c>
      <c r="H152">
        <f>Engagement_Summary[[#This Row],[New_Followers]]-Engagement_Summary[[#This Row],[Unfollows]]</f>
        <v>-37</v>
      </c>
    </row>
    <row r="153" spans="1:8" x14ac:dyDescent="0.2">
      <c r="A153" t="s">
        <v>27</v>
      </c>
      <c r="B153">
        <v>1662</v>
      </c>
      <c r="C153">
        <v>487</v>
      </c>
      <c r="D153">
        <v>105980</v>
      </c>
      <c r="E153">
        <v>9.08</v>
      </c>
      <c r="F153">
        <v>22996</v>
      </c>
      <c r="G153" s="1">
        <v>45705</v>
      </c>
      <c r="H153">
        <f>Engagement_Summary[[#This Row],[New_Followers]]-Engagement_Summary[[#This Row],[Unfollows]]</f>
        <v>1175</v>
      </c>
    </row>
    <row r="154" spans="1:8" x14ac:dyDescent="0.2">
      <c r="A154" t="s">
        <v>31</v>
      </c>
      <c r="B154">
        <v>1440</v>
      </c>
      <c r="C154">
        <v>65</v>
      </c>
      <c r="D154">
        <v>126524</v>
      </c>
      <c r="E154">
        <v>4.34</v>
      </c>
      <c r="F154">
        <v>49772</v>
      </c>
      <c r="G154" s="1">
        <v>45712</v>
      </c>
      <c r="H154">
        <f>Engagement_Summary[[#This Row],[New_Followers]]-Engagement_Summary[[#This Row],[Unfollows]]</f>
        <v>1375</v>
      </c>
    </row>
    <row r="155" spans="1:8" x14ac:dyDescent="0.2">
      <c r="A155" t="s">
        <v>38</v>
      </c>
      <c r="B155">
        <v>1884</v>
      </c>
      <c r="C155">
        <v>177</v>
      </c>
      <c r="D155">
        <v>230448</v>
      </c>
      <c r="E155">
        <v>7.8</v>
      </c>
      <c r="F155">
        <v>22713</v>
      </c>
      <c r="G155" s="1">
        <v>45712</v>
      </c>
      <c r="H155">
        <f>Engagement_Summary[[#This Row],[New_Followers]]-Engagement_Summary[[#This Row],[Unfollows]]</f>
        <v>1707</v>
      </c>
    </row>
    <row r="156" spans="1:8" x14ac:dyDescent="0.2">
      <c r="A156" t="s">
        <v>14</v>
      </c>
      <c r="B156">
        <v>861</v>
      </c>
      <c r="C156">
        <v>153</v>
      </c>
      <c r="D156">
        <v>317007</v>
      </c>
      <c r="E156">
        <v>3.85</v>
      </c>
      <c r="F156">
        <v>8718</v>
      </c>
      <c r="G156" s="1">
        <v>45712</v>
      </c>
      <c r="H156">
        <f>Engagement_Summary[[#This Row],[New_Followers]]-Engagement_Summary[[#This Row],[Unfollows]]</f>
        <v>708</v>
      </c>
    </row>
    <row r="157" spans="1:8" x14ac:dyDescent="0.2">
      <c r="A157" t="s">
        <v>27</v>
      </c>
      <c r="B157">
        <v>1063</v>
      </c>
      <c r="C157">
        <v>47</v>
      </c>
      <c r="D157">
        <v>464239</v>
      </c>
      <c r="E157">
        <v>6.58</v>
      </c>
      <c r="F157">
        <v>39031</v>
      </c>
      <c r="G157" s="1">
        <v>45712</v>
      </c>
      <c r="H157">
        <f>Engagement_Summary[[#This Row],[New_Followers]]-Engagement_Summary[[#This Row],[Unfollows]]</f>
        <v>1016</v>
      </c>
    </row>
    <row r="158" spans="1:8" x14ac:dyDescent="0.2">
      <c r="A158" t="s">
        <v>31</v>
      </c>
      <c r="B158">
        <v>1371</v>
      </c>
      <c r="C158">
        <v>56</v>
      </c>
      <c r="D158">
        <v>257579</v>
      </c>
      <c r="E158">
        <v>8.6199999999999992</v>
      </c>
      <c r="F158">
        <v>33799</v>
      </c>
      <c r="G158" s="1">
        <v>45719</v>
      </c>
      <c r="H158">
        <f>Engagement_Summary[[#This Row],[New_Followers]]-Engagement_Summary[[#This Row],[Unfollows]]</f>
        <v>1315</v>
      </c>
    </row>
    <row r="159" spans="1:8" x14ac:dyDescent="0.2">
      <c r="A159" t="s">
        <v>38</v>
      </c>
      <c r="B159">
        <v>345</v>
      </c>
      <c r="C159">
        <v>464</v>
      </c>
      <c r="D159">
        <v>366881</v>
      </c>
      <c r="E159">
        <v>4.55</v>
      </c>
      <c r="F159">
        <v>20553</v>
      </c>
      <c r="G159" s="1">
        <v>45719</v>
      </c>
      <c r="H159">
        <f>Engagement_Summary[[#This Row],[New_Followers]]-Engagement_Summary[[#This Row],[Unfollows]]</f>
        <v>-119</v>
      </c>
    </row>
    <row r="160" spans="1:8" x14ac:dyDescent="0.2">
      <c r="A160" t="s">
        <v>14</v>
      </c>
      <c r="B160">
        <v>946</v>
      </c>
      <c r="C160">
        <v>47</v>
      </c>
      <c r="D160">
        <v>466575</v>
      </c>
      <c r="E160">
        <v>8.33</v>
      </c>
      <c r="F160">
        <v>10002</v>
      </c>
      <c r="G160" s="1">
        <v>45719</v>
      </c>
      <c r="H160">
        <f>Engagement_Summary[[#This Row],[New_Followers]]-Engagement_Summary[[#This Row],[Unfollows]]</f>
        <v>899</v>
      </c>
    </row>
    <row r="161" spans="1:8" x14ac:dyDescent="0.2">
      <c r="A161" t="s">
        <v>27</v>
      </c>
      <c r="B161">
        <v>510</v>
      </c>
      <c r="C161">
        <v>195</v>
      </c>
      <c r="D161">
        <v>224534</v>
      </c>
      <c r="E161">
        <v>9.4</v>
      </c>
      <c r="F161">
        <v>30987</v>
      </c>
      <c r="G161" s="1">
        <v>45719</v>
      </c>
      <c r="H161">
        <f>Engagement_Summary[[#This Row],[New_Followers]]-Engagement_Summary[[#This Row],[Unfollows]]</f>
        <v>315</v>
      </c>
    </row>
    <row r="162" spans="1:8" x14ac:dyDescent="0.2">
      <c r="A162" t="s">
        <v>31</v>
      </c>
      <c r="B162">
        <v>393</v>
      </c>
      <c r="C162">
        <v>181</v>
      </c>
      <c r="D162">
        <v>462142</v>
      </c>
      <c r="E162">
        <v>7.23</v>
      </c>
      <c r="F162">
        <v>6296</v>
      </c>
      <c r="G162" s="1">
        <v>45726</v>
      </c>
      <c r="H162">
        <f>Engagement_Summary[[#This Row],[New_Followers]]-Engagement_Summary[[#This Row],[Unfollows]]</f>
        <v>212</v>
      </c>
    </row>
    <row r="163" spans="1:8" x14ac:dyDescent="0.2">
      <c r="A163" t="s">
        <v>38</v>
      </c>
      <c r="B163">
        <v>1098</v>
      </c>
      <c r="C163">
        <v>190</v>
      </c>
      <c r="D163">
        <v>340842</v>
      </c>
      <c r="E163">
        <v>9.39</v>
      </c>
      <c r="F163">
        <v>21539</v>
      </c>
      <c r="G163" s="1">
        <v>45726</v>
      </c>
      <c r="H163">
        <f>Engagement_Summary[[#This Row],[New_Followers]]-Engagement_Summary[[#This Row],[Unfollows]]</f>
        <v>908</v>
      </c>
    </row>
    <row r="164" spans="1:8" x14ac:dyDescent="0.2">
      <c r="A164" t="s">
        <v>14</v>
      </c>
      <c r="B164">
        <v>1399</v>
      </c>
      <c r="C164">
        <v>49</v>
      </c>
      <c r="D164">
        <v>12471</v>
      </c>
      <c r="E164">
        <v>5.12</v>
      </c>
      <c r="F164">
        <v>14722</v>
      </c>
      <c r="G164" s="1">
        <v>45726</v>
      </c>
      <c r="H164">
        <f>Engagement_Summary[[#This Row],[New_Followers]]-Engagement_Summary[[#This Row],[Unfollows]]</f>
        <v>1350</v>
      </c>
    </row>
    <row r="165" spans="1:8" x14ac:dyDescent="0.2">
      <c r="A165" t="s">
        <v>27</v>
      </c>
      <c r="B165">
        <v>1658</v>
      </c>
      <c r="C165">
        <v>416</v>
      </c>
      <c r="D165">
        <v>98397</v>
      </c>
      <c r="E165">
        <v>6.11</v>
      </c>
      <c r="F165">
        <v>11383</v>
      </c>
      <c r="G165" s="1">
        <v>45726</v>
      </c>
      <c r="H165">
        <f>Engagement_Summary[[#This Row],[New_Followers]]-Engagement_Summary[[#This Row],[Unfollows]]</f>
        <v>1242</v>
      </c>
    </row>
    <row r="166" spans="1:8" x14ac:dyDescent="0.2">
      <c r="A166" t="s">
        <v>31</v>
      </c>
      <c r="B166">
        <v>1102</v>
      </c>
      <c r="C166">
        <v>422</v>
      </c>
      <c r="D166">
        <v>410330</v>
      </c>
      <c r="E166">
        <v>7.74</v>
      </c>
      <c r="F166">
        <v>9480</v>
      </c>
      <c r="G166" s="1">
        <v>45733</v>
      </c>
      <c r="H166">
        <f>Engagement_Summary[[#This Row],[New_Followers]]-Engagement_Summary[[#This Row],[Unfollows]]</f>
        <v>680</v>
      </c>
    </row>
    <row r="167" spans="1:8" x14ac:dyDescent="0.2">
      <c r="A167" t="s">
        <v>38</v>
      </c>
      <c r="B167">
        <v>1358</v>
      </c>
      <c r="C167">
        <v>242</v>
      </c>
      <c r="D167">
        <v>342129</v>
      </c>
      <c r="E167">
        <v>4.9400000000000004</v>
      </c>
      <c r="F167">
        <v>29116</v>
      </c>
      <c r="G167" s="1">
        <v>45733</v>
      </c>
      <c r="H167">
        <f>Engagement_Summary[[#This Row],[New_Followers]]-Engagement_Summary[[#This Row],[Unfollows]]</f>
        <v>1116</v>
      </c>
    </row>
    <row r="168" spans="1:8" x14ac:dyDescent="0.2">
      <c r="A168" t="s">
        <v>14</v>
      </c>
      <c r="B168">
        <v>1077</v>
      </c>
      <c r="C168">
        <v>216</v>
      </c>
      <c r="D168">
        <v>12447</v>
      </c>
      <c r="E168">
        <v>1.8</v>
      </c>
      <c r="F168">
        <v>14068</v>
      </c>
      <c r="G168" s="1">
        <v>45733</v>
      </c>
      <c r="H168">
        <f>Engagement_Summary[[#This Row],[New_Followers]]-Engagement_Summary[[#This Row],[Unfollows]]</f>
        <v>861</v>
      </c>
    </row>
    <row r="169" spans="1:8" x14ac:dyDescent="0.2">
      <c r="A169" t="s">
        <v>27</v>
      </c>
      <c r="B169">
        <v>1596</v>
      </c>
      <c r="C169">
        <v>211</v>
      </c>
      <c r="D169">
        <v>17380</v>
      </c>
      <c r="E169">
        <v>8.64</v>
      </c>
      <c r="F169">
        <v>35801</v>
      </c>
      <c r="G169" s="1">
        <v>45733</v>
      </c>
      <c r="H169">
        <f>Engagement_Summary[[#This Row],[New_Followers]]-Engagement_Summary[[#This Row],[Unfollows]]</f>
        <v>1385</v>
      </c>
    </row>
    <row r="170" spans="1:8" x14ac:dyDescent="0.2">
      <c r="A170" t="s">
        <v>31</v>
      </c>
      <c r="B170">
        <v>490</v>
      </c>
      <c r="C170">
        <v>29</v>
      </c>
      <c r="D170">
        <v>364810</v>
      </c>
      <c r="E170">
        <v>1.53</v>
      </c>
      <c r="F170">
        <v>49077</v>
      </c>
      <c r="G170" s="1">
        <v>45740</v>
      </c>
      <c r="H170">
        <f>Engagement_Summary[[#This Row],[New_Followers]]-Engagement_Summary[[#This Row],[Unfollows]]</f>
        <v>461</v>
      </c>
    </row>
    <row r="171" spans="1:8" x14ac:dyDescent="0.2">
      <c r="A171" t="s">
        <v>38</v>
      </c>
      <c r="B171">
        <v>609</v>
      </c>
      <c r="C171">
        <v>135</v>
      </c>
      <c r="D171">
        <v>373606</v>
      </c>
      <c r="E171">
        <v>8.52</v>
      </c>
      <c r="F171">
        <v>21453</v>
      </c>
      <c r="G171" s="1">
        <v>45740</v>
      </c>
      <c r="H171">
        <f>Engagement_Summary[[#This Row],[New_Followers]]-Engagement_Summary[[#This Row],[Unfollows]]</f>
        <v>474</v>
      </c>
    </row>
    <row r="172" spans="1:8" x14ac:dyDescent="0.2">
      <c r="A172" t="s">
        <v>14</v>
      </c>
      <c r="B172">
        <v>364</v>
      </c>
      <c r="C172">
        <v>72</v>
      </c>
      <c r="D172">
        <v>211090</v>
      </c>
      <c r="E172">
        <v>5.53</v>
      </c>
      <c r="F172">
        <v>21061</v>
      </c>
      <c r="G172" s="1">
        <v>45740</v>
      </c>
      <c r="H172">
        <f>Engagement_Summary[[#This Row],[New_Followers]]-Engagement_Summary[[#This Row],[Unfollows]]</f>
        <v>292</v>
      </c>
    </row>
    <row r="173" spans="1:8" x14ac:dyDescent="0.2">
      <c r="A173" t="s">
        <v>27</v>
      </c>
      <c r="B173">
        <v>442</v>
      </c>
      <c r="C173">
        <v>53</v>
      </c>
      <c r="D173">
        <v>441931</v>
      </c>
      <c r="E173">
        <v>1.87</v>
      </c>
      <c r="F173">
        <v>20059</v>
      </c>
      <c r="G173" s="1">
        <v>45740</v>
      </c>
      <c r="H173">
        <f>Engagement_Summary[[#This Row],[New_Followers]]-Engagement_Summary[[#This Row],[Unfollows]]</f>
        <v>389</v>
      </c>
    </row>
    <row r="174" spans="1:8" x14ac:dyDescent="0.2">
      <c r="A174" t="s">
        <v>31</v>
      </c>
      <c r="B174">
        <v>1033</v>
      </c>
      <c r="C174">
        <v>392</v>
      </c>
      <c r="D174">
        <v>282780</v>
      </c>
      <c r="E174">
        <v>6.27</v>
      </c>
      <c r="F174">
        <v>23140</v>
      </c>
      <c r="G174" s="1">
        <v>45747</v>
      </c>
      <c r="H174">
        <f>Engagement_Summary[[#This Row],[New_Followers]]-Engagement_Summary[[#This Row],[Unfollows]]</f>
        <v>641</v>
      </c>
    </row>
    <row r="175" spans="1:8" x14ac:dyDescent="0.2">
      <c r="A175" t="s">
        <v>38</v>
      </c>
      <c r="B175">
        <v>988</v>
      </c>
      <c r="C175">
        <v>474</v>
      </c>
      <c r="D175">
        <v>370070</v>
      </c>
      <c r="E175">
        <v>9.4600000000000009</v>
      </c>
      <c r="F175">
        <v>23461</v>
      </c>
      <c r="G175" s="1">
        <v>45747</v>
      </c>
      <c r="H175">
        <f>Engagement_Summary[[#This Row],[New_Followers]]-Engagement_Summary[[#This Row],[Unfollows]]</f>
        <v>514</v>
      </c>
    </row>
    <row r="176" spans="1:8" x14ac:dyDescent="0.2">
      <c r="A176" t="s">
        <v>14</v>
      </c>
      <c r="B176">
        <v>1946</v>
      </c>
      <c r="C176">
        <v>270</v>
      </c>
      <c r="D176">
        <v>198350</v>
      </c>
      <c r="E176">
        <v>7.5</v>
      </c>
      <c r="F176">
        <v>11805</v>
      </c>
      <c r="G176" s="1">
        <v>45747</v>
      </c>
      <c r="H176">
        <f>Engagement_Summary[[#This Row],[New_Followers]]-Engagement_Summary[[#This Row],[Unfollows]]</f>
        <v>1676</v>
      </c>
    </row>
    <row r="177" spans="1:8" x14ac:dyDescent="0.2">
      <c r="A177" t="s">
        <v>27</v>
      </c>
      <c r="B177">
        <v>1957</v>
      </c>
      <c r="C177">
        <v>490</v>
      </c>
      <c r="D177">
        <v>435726</v>
      </c>
      <c r="E177">
        <v>4.7300000000000004</v>
      </c>
      <c r="F177">
        <v>15969</v>
      </c>
      <c r="G177" s="1">
        <v>45747</v>
      </c>
      <c r="H177">
        <f>Engagement_Summary[[#This Row],[New_Followers]]-Engagement_Summary[[#This Row],[Unfollows]]</f>
        <v>1467</v>
      </c>
    </row>
    <row r="178" spans="1:8" x14ac:dyDescent="0.2">
      <c r="A178" t="s">
        <v>31</v>
      </c>
      <c r="B178">
        <v>559</v>
      </c>
      <c r="C178">
        <v>392</v>
      </c>
      <c r="D178">
        <v>78789</v>
      </c>
      <c r="E178">
        <v>3.19</v>
      </c>
      <c r="F178">
        <v>2436</v>
      </c>
      <c r="G178" s="1">
        <v>45754</v>
      </c>
      <c r="H178">
        <f>Engagement_Summary[[#This Row],[New_Followers]]-Engagement_Summary[[#This Row],[Unfollows]]</f>
        <v>167</v>
      </c>
    </row>
    <row r="179" spans="1:8" x14ac:dyDescent="0.2">
      <c r="A179" t="s">
        <v>38</v>
      </c>
      <c r="B179">
        <v>1307</v>
      </c>
      <c r="C179">
        <v>278</v>
      </c>
      <c r="D179">
        <v>98596</v>
      </c>
      <c r="E179">
        <v>2.4900000000000002</v>
      </c>
      <c r="F179">
        <v>47603</v>
      </c>
      <c r="G179" s="1">
        <v>45754</v>
      </c>
      <c r="H179">
        <f>Engagement_Summary[[#This Row],[New_Followers]]-Engagement_Summary[[#This Row],[Unfollows]]</f>
        <v>1029</v>
      </c>
    </row>
    <row r="180" spans="1:8" x14ac:dyDescent="0.2">
      <c r="A180" t="s">
        <v>14</v>
      </c>
      <c r="B180">
        <v>1432</v>
      </c>
      <c r="C180">
        <v>425</v>
      </c>
      <c r="D180">
        <v>29589</v>
      </c>
      <c r="E180">
        <v>4.5</v>
      </c>
      <c r="F180">
        <v>42964</v>
      </c>
      <c r="G180" s="1">
        <v>45754</v>
      </c>
      <c r="H180">
        <f>Engagement_Summary[[#This Row],[New_Followers]]-Engagement_Summary[[#This Row],[Unfollows]]</f>
        <v>1007</v>
      </c>
    </row>
    <row r="181" spans="1:8" x14ac:dyDescent="0.2">
      <c r="A181" t="s">
        <v>27</v>
      </c>
      <c r="B181">
        <v>623</v>
      </c>
      <c r="C181">
        <v>414</v>
      </c>
      <c r="D181">
        <v>290354</v>
      </c>
      <c r="E181">
        <v>6.49</v>
      </c>
      <c r="F181">
        <v>39923</v>
      </c>
      <c r="G181" s="1">
        <v>45754</v>
      </c>
      <c r="H181">
        <f>Engagement_Summary[[#This Row],[New_Followers]]-Engagement_Summary[[#This Row],[Unfollows]]</f>
        <v>209</v>
      </c>
    </row>
    <row r="182" spans="1:8" x14ac:dyDescent="0.2">
      <c r="A182" t="s">
        <v>31</v>
      </c>
      <c r="B182">
        <v>198</v>
      </c>
      <c r="C182">
        <v>358</v>
      </c>
      <c r="D182">
        <v>66682</v>
      </c>
      <c r="E182">
        <v>6.73</v>
      </c>
      <c r="F182">
        <v>2293</v>
      </c>
      <c r="G182" s="1">
        <v>45761</v>
      </c>
      <c r="H182">
        <f>Engagement_Summary[[#This Row],[New_Followers]]-Engagement_Summary[[#This Row],[Unfollows]]</f>
        <v>-160</v>
      </c>
    </row>
    <row r="183" spans="1:8" x14ac:dyDescent="0.2">
      <c r="A183" t="s">
        <v>38</v>
      </c>
      <c r="B183">
        <v>198</v>
      </c>
      <c r="C183">
        <v>373</v>
      </c>
      <c r="D183">
        <v>70707</v>
      </c>
      <c r="E183">
        <v>4.83</v>
      </c>
      <c r="F183">
        <v>25920</v>
      </c>
      <c r="G183" s="1">
        <v>45761</v>
      </c>
      <c r="H183">
        <f>Engagement_Summary[[#This Row],[New_Followers]]-Engagement_Summary[[#This Row],[Unfollows]]</f>
        <v>-175</v>
      </c>
    </row>
    <row r="184" spans="1:8" x14ac:dyDescent="0.2">
      <c r="A184" t="s">
        <v>14</v>
      </c>
      <c r="B184">
        <v>353</v>
      </c>
      <c r="C184">
        <v>300</v>
      </c>
      <c r="D184">
        <v>142507</v>
      </c>
      <c r="E184">
        <v>5.3</v>
      </c>
      <c r="F184">
        <v>11035</v>
      </c>
      <c r="G184" s="1">
        <v>45761</v>
      </c>
      <c r="H184">
        <f>Engagement_Summary[[#This Row],[New_Followers]]-Engagement_Summary[[#This Row],[Unfollows]]</f>
        <v>53</v>
      </c>
    </row>
    <row r="185" spans="1:8" x14ac:dyDescent="0.2">
      <c r="A185" t="s">
        <v>27</v>
      </c>
      <c r="B185">
        <v>520</v>
      </c>
      <c r="C185">
        <v>375</v>
      </c>
      <c r="D185">
        <v>369525</v>
      </c>
      <c r="E185">
        <v>6.54</v>
      </c>
      <c r="F185">
        <v>20733</v>
      </c>
      <c r="G185" s="1">
        <v>45761</v>
      </c>
      <c r="H185">
        <f>Engagement_Summary[[#This Row],[New_Followers]]-Engagement_Summary[[#This Row],[Unfollows]]</f>
        <v>145</v>
      </c>
    </row>
    <row r="186" spans="1:8" x14ac:dyDescent="0.2">
      <c r="A186" t="s">
        <v>31</v>
      </c>
      <c r="B186">
        <v>961</v>
      </c>
      <c r="C186">
        <v>358</v>
      </c>
      <c r="D186">
        <v>62942</v>
      </c>
      <c r="E186">
        <v>6.8</v>
      </c>
      <c r="F186">
        <v>18693</v>
      </c>
      <c r="G186" s="1">
        <v>45768</v>
      </c>
      <c r="H186">
        <f>Engagement_Summary[[#This Row],[New_Followers]]-Engagement_Summary[[#This Row],[Unfollows]]</f>
        <v>603</v>
      </c>
    </row>
    <row r="187" spans="1:8" x14ac:dyDescent="0.2">
      <c r="A187" t="s">
        <v>38</v>
      </c>
      <c r="B187">
        <v>1375</v>
      </c>
      <c r="C187">
        <v>330</v>
      </c>
      <c r="D187">
        <v>377382</v>
      </c>
      <c r="E187">
        <v>2.6</v>
      </c>
      <c r="F187">
        <v>7875</v>
      </c>
      <c r="G187" s="1">
        <v>45768</v>
      </c>
      <c r="H187">
        <f>Engagement_Summary[[#This Row],[New_Followers]]-Engagement_Summary[[#This Row],[Unfollows]]</f>
        <v>1045</v>
      </c>
    </row>
    <row r="188" spans="1:8" x14ac:dyDescent="0.2">
      <c r="A188" t="s">
        <v>14</v>
      </c>
      <c r="B188">
        <v>1147</v>
      </c>
      <c r="C188">
        <v>388</v>
      </c>
      <c r="D188">
        <v>333851</v>
      </c>
      <c r="E188">
        <v>2.44</v>
      </c>
      <c r="F188">
        <v>8471</v>
      </c>
      <c r="G188" s="1">
        <v>45768</v>
      </c>
      <c r="H188">
        <f>Engagement_Summary[[#This Row],[New_Followers]]-Engagement_Summary[[#This Row],[Unfollows]]</f>
        <v>759</v>
      </c>
    </row>
    <row r="189" spans="1:8" x14ac:dyDescent="0.2">
      <c r="A189" t="s">
        <v>27</v>
      </c>
      <c r="B189">
        <v>1707</v>
      </c>
      <c r="C189">
        <v>74</v>
      </c>
      <c r="D189">
        <v>270958</v>
      </c>
      <c r="E189">
        <v>3.09</v>
      </c>
      <c r="F189">
        <v>14090</v>
      </c>
      <c r="G189" s="1">
        <v>45768</v>
      </c>
      <c r="H189">
        <f>Engagement_Summary[[#This Row],[New_Followers]]-Engagement_Summary[[#This Row],[Unfollows]]</f>
        <v>1633</v>
      </c>
    </row>
    <row r="190" spans="1:8" x14ac:dyDescent="0.2">
      <c r="A190" t="s">
        <v>31</v>
      </c>
      <c r="B190">
        <v>1693</v>
      </c>
      <c r="C190">
        <v>154</v>
      </c>
      <c r="D190">
        <v>445944</v>
      </c>
      <c r="E190">
        <v>5.69</v>
      </c>
      <c r="F190">
        <v>14216</v>
      </c>
      <c r="G190" s="1">
        <v>45775</v>
      </c>
      <c r="H190">
        <f>Engagement_Summary[[#This Row],[New_Followers]]-Engagement_Summary[[#This Row],[Unfollows]]</f>
        <v>1539</v>
      </c>
    </row>
    <row r="191" spans="1:8" x14ac:dyDescent="0.2">
      <c r="A191" t="s">
        <v>38</v>
      </c>
      <c r="B191">
        <v>833</v>
      </c>
      <c r="C191">
        <v>380</v>
      </c>
      <c r="D191">
        <v>224830</v>
      </c>
      <c r="E191">
        <v>3.86</v>
      </c>
      <c r="F191">
        <v>3582</v>
      </c>
      <c r="G191" s="1">
        <v>45775</v>
      </c>
      <c r="H191">
        <f>Engagement_Summary[[#This Row],[New_Followers]]-Engagement_Summary[[#This Row],[Unfollows]]</f>
        <v>453</v>
      </c>
    </row>
    <row r="192" spans="1:8" x14ac:dyDescent="0.2">
      <c r="A192" t="s">
        <v>14</v>
      </c>
      <c r="B192">
        <v>1222</v>
      </c>
      <c r="C192">
        <v>274</v>
      </c>
      <c r="D192">
        <v>487289</v>
      </c>
      <c r="E192">
        <v>3.16</v>
      </c>
      <c r="F192">
        <v>32500</v>
      </c>
      <c r="G192" s="1">
        <v>45775</v>
      </c>
      <c r="H192">
        <f>Engagement_Summary[[#This Row],[New_Followers]]-Engagement_Summary[[#This Row],[Unfollows]]</f>
        <v>948</v>
      </c>
    </row>
    <row r="193" spans="1:8" x14ac:dyDescent="0.2">
      <c r="A193" t="s">
        <v>27</v>
      </c>
      <c r="B193">
        <v>777</v>
      </c>
      <c r="C193">
        <v>140</v>
      </c>
      <c r="D193">
        <v>11435</v>
      </c>
      <c r="E193">
        <v>1.6</v>
      </c>
      <c r="F193">
        <v>6832</v>
      </c>
      <c r="G193" s="1">
        <v>45775</v>
      </c>
      <c r="H193">
        <f>Engagement_Summary[[#This Row],[New_Followers]]-Engagement_Summary[[#This Row],[Unfollows]]</f>
        <v>637</v>
      </c>
    </row>
    <row r="194" spans="1:8" x14ac:dyDescent="0.2">
      <c r="A194" t="s">
        <v>31</v>
      </c>
      <c r="B194">
        <v>1957</v>
      </c>
      <c r="C194">
        <v>76</v>
      </c>
      <c r="D194">
        <v>447902</v>
      </c>
      <c r="E194">
        <v>6.09</v>
      </c>
      <c r="F194">
        <v>33381</v>
      </c>
      <c r="G194" s="1">
        <v>45782</v>
      </c>
      <c r="H194">
        <f>Engagement_Summary[[#This Row],[New_Followers]]-Engagement_Summary[[#This Row],[Unfollows]]</f>
        <v>1881</v>
      </c>
    </row>
    <row r="195" spans="1:8" x14ac:dyDescent="0.2">
      <c r="A195" t="s">
        <v>38</v>
      </c>
      <c r="B195">
        <v>405</v>
      </c>
      <c r="C195">
        <v>66</v>
      </c>
      <c r="D195">
        <v>418696</v>
      </c>
      <c r="E195">
        <v>5.59</v>
      </c>
      <c r="F195">
        <v>48419</v>
      </c>
      <c r="G195" s="1">
        <v>45782</v>
      </c>
      <c r="H195">
        <f>Engagement_Summary[[#This Row],[New_Followers]]-Engagement_Summary[[#This Row],[Unfollows]]</f>
        <v>339</v>
      </c>
    </row>
    <row r="196" spans="1:8" x14ac:dyDescent="0.2">
      <c r="A196" t="s">
        <v>14</v>
      </c>
      <c r="B196">
        <v>1581</v>
      </c>
      <c r="C196">
        <v>71</v>
      </c>
      <c r="D196">
        <v>484364</v>
      </c>
      <c r="E196">
        <v>3.55</v>
      </c>
      <c r="F196">
        <v>16149</v>
      </c>
      <c r="G196" s="1">
        <v>45782</v>
      </c>
      <c r="H196">
        <f>Engagement_Summary[[#This Row],[New_Followers]]-Engagement_Summary[[#This Row],[Unfollows]]</f>
        <v>1510</v>
      </c>
    </row>
    <row r="197" spans="1:8" x14ac:dyDescent="0.2">
      <c r="A197" t="s">
        <v>27</v>
      </c>
      <c r="B197">
        <v>1035</v>
      </c>
      <c r="C197">
        <v>171</v>
      </c>
      <c r="D197">
        <v>148477</v>
      </c>
      <c r="E197">
        <v>5.21</v>
      </c>
      <c r="F197">
        <v>7541</v>
      </c>
      <c r="G197" s="1">
        <v>45782</v>
      </c>
      <c r="H197">
        <f>Engagement_Summary[[#This Row],[New_Followers]]-Engagement_Summary[[#This Row],[Unfollows]]</f>
        <v>864</v>
      </c>
    </row>
    <row r="198" spans="1:8" x14ac:dyDescent="0.2">
      <c r="A198" t="s">
        <v>31</v>
      </c>
      <c r="B198">
        <v>1765</v>
      </c>
      <c r="C198">
        <v>109</v>
      </c>
      <c r="D198">
        <v>468301</v>
      </c>
      <c r="E198">
        <v>1.82</v>
      </c>
      <c r="F198">
        <v>20042</v>
      </c>
      <c r="G198" s="1">
        <v>45789</v>
      </c>
      <c r="H198">
        <f>Engagement_Summary[[#This Row],[New_Followers]]-Engagement_Summary[[#This Row],[Unfollows]]</f>
        <v>1656</v>
      </c>
    </row>
    <row r="199" spans="1:8" x14ac:dyDescent="0.2">
      <c r="A199" t="s">
        <v>38</v>
      </c>
      <c r="B199">
        <v>837</v>
      </c>
      <c r="C199">
        <v>430</v>
      </c>
      <c r="D199">
        <v>364820</v>
      </c>
      <c r="E199">
        <v>4</v>
      </c>
      <c r="F199">
        <v>49400</v>
      </c>
      <c r="G199" s="1">
        <v>45789</v>
      </c>
      <c r="H199">
        <f>Engagement_Summary[[#This Row],[New_Followers]]-Engagement_Summary[[#This Row],[Unfollows]]</f>
        <v>407</v>
      </c>
    </row>
    <row r="200" spans="1:8" x14ac:dyDescent="0.2">
      <c r="A200" t="s">
        <v>14</v>
      </c>
      <c r="B200">
        <v>337</v>
      </c>
      <c r="C200">
        <v>68</v>
      </c>
      <c r="D200">
        <v>456298</v>
      </c>
      <c r="E200">
        <v>7.57</v>
      </c>
      <c r="F200">
        <v>4007</v>
      </c>
      <c r="G200" s="1">
        <v>45789</v>
      </c>
      <c r="H200">
        <f>Engagement_Summary[[#This Row],[New_Followers]]-Engagement_Summary[[#This Row],[Unfollows]]</f>
        <v>269</v>
      </c>
    </row>
    <row r="201" spans="1:8" x14ac:dyDescent="0.2">
      <c r="A201" t="s">
        <v>27</v>
      </c>
      <c r="B201">
        <v>119</v>
      </c>
      <c r="C201">
        <v>456</v>
      </c>
      <c r="D201">
        <v>82558</v>
      </c>
      <c r="E201">
        <v>6.81</v>
      </c>
      <c r="F201">
        <v>12174</v>
      </c>
      <c r="G201" s="1">
        <v>45789</v>
      </c>
      <c r="H201">
        <f>Engagement_Summary[[#This Row],[New_Followers]]-Engagement_Summary[[#This Row],[Unfollows]]</f>
        <v>-337</v>
      </c>
    </row>
    <row r="202" spans="1:8" x14ac:dyDescent="0.2">
      <c r="G202" s="1"/>
      <c r="H202">
        <f>Engagement_Summary[[#This Row],[New_Followers]]-Engagement_Summary[[#This Row],[Unfollows]]</f>
        <v>0</v>
      </c>
    </row>
    <row r="203" spans="1:8" x14ac:dyDescent="0.2">
      <c r="G203" s="1"/>
      <c r="H203">
        <f>Engagement_Summary[[#This Row],[New_Followers]]-Engagement_Summary[[#This Row],[Unfollows]]</f>
        <v>0</v>
      </c>
    </row>
    <row r="204" spans="1:8" x14ac:dyDescent="0.2">
      <c r="G204" s="1"/>
      <c r="H204">
        <f>Engagement_Summary[[#This Row],[New_Followers]]-Engagement_Summary[[#This Row],[Unfollows]]</f>
        <v>0</v>
      </c>
    </row>
    <row r="205" spans="1:8" x14ac:dyDescent="0.2">
      <c r="G205" s="1"/>
      <c r="H205">
        <f>Engagement_Summary[[#This Row],[New_Followers]]-Engagement_Summary[[#This Row],[Unfollows]]</f>
        <v>0</v>
      </c>
    </row>
    <row r="206" spans="1:8" x14ac:dyDescent="0.2">
      <c r="G206" s="1"/>
      <c r="H206">
        <f>Engagement_Summary[[#This Row],[New_Followers]]-Engagement_Summary[[#This Row],[Unfollows]]</f>
        <v>0</v>
      </c>
    </row>
    <row r="207" spans="1:8" x14ac:dyDescent="0.2">
      <c r="G207" s="1"/>
      <c r="H207">
        <f>Engagement_Summary[[#This Row],[New_Followers]]-Engagement_Summary[[#This Row],[Unfollows]]</f>
        <v>0</v>
      </c>
    </row>
    <row r="208" spans="1:8" x14ac:dyDescent="0.2">
      <c r="G208" s="1"/>
      <c r="H208">
        <f>Engagement_Summary[[#This Row],[New_Followers]]-Engagement_Summary[[#This Row],[Unfollows]]</f>
        <v>0</v>
      </c>
    </row>
    <row r="209" spans="7:8" x14ac:dyDescent="0.2">
      <c r="G209" s="1"/>
      <c r="H209">
        <f>Engagement_Summary[[#This Row],[New_Followers]]-Engagement_Summary[[#This Row],[Unfollows]]</f>
        <v>0</v>
      </c>
    </row>
    <row r="210" spans="7:8" x14ac:dyDescent="0.2">
      <c r="G210" s="1"/>
      <c r="H210">
        <f>Engagement_Summary[[#This Row],[New_Followers]]-Engagement_Summary[[#This Row],[Unfollows]]</f>
        <v>0</v>
      </c>
    </row>
    <row r="211" spans="7:8" x14ac:dyDescent="0.2">
      <c r="G211" s="1"/>
      <c r="H211">
        <f>Engagement_Summary[[#This Row],[New_Followers]]-Engagement_Summary[[#This Row],[Unfollows]]</f>
        <v>0</v>
      </c>
    </row>
    <row r="212" spans="7:8" x14ac:dyDescent="0.2">
      <c r="G212" s="1"/>
      <c r="H212">
        <f>Engagement_Summary[[#This Row],[New_Followers]]-Engagement_Summary[[#This Row],[Unfollows]]</f>
        <v>0</v>
      </c>
    </row>
    <row r="213" spans="7:8" x14ac:dyDescent="0.2">
      <c r="G213" s="1"/>
      <c r="H213">
        <f>Engagement_Summary[[#This Row],[New_Followers]]-Engagement_Summary[[#This Row],[Unfollows]]</f>
        <v>0</v>
      </c>
    </row>
    <row r="214" spans="7:8" x14ac:dyDescent="0.2">
      <c r="G214" s="1"/>
      <c r="H214">
        <f>Engagement_Summary[[#This Row],[New_Followers]]-Engagement_Summary[[#This Row],[Unfollows]]</f>
        <v>0</v>
      </c>
    </row>
    <row r="215" spans="7:8" x14ac:dyDescent="0.2">
      <c r="G215" s="1"/>
      <c r="H215">
        <f>Engagement_Summary[[#This Row],[New_Followers]]-Engagement_Summary[[#This Row],[Unfollows]]</f>
        <v>0</v>
      </c>
    </row>
    <row r="216" spans="7:8" x14ac:dyDescent="0.2">
      <c r="G216" s="1"/>
      <c r="H216">
        <f>Engagement_Summary[[#This Row],[New_Followers]]-Engagement_Summary[[#This Row],[Unfollows]]</f>
        <v>0</v>
      </c>
    </row>
    <row r="217" spans="7:8" x14ac:dyDescent="0.2">
      <c r="G217" s="1"/>
      <c r="H217">
        <f>Engagement_Summary[[#This Row],[New_Followers]]-Engagement_Summary[[#This Row],[Unfollows]]</f>
        <v>0</v>
      </c>
    </row>
    <row r="218" spans="7:8" x14ac:dyDescent="0.2">
      <c r="G218" s="1"/>
      <c r="H218">
        <f>Engagement_Summary[[#This Row],[New_Followers]]-Engagement_Summary[[#This Row],[Unfollows]]</f>
        <v>0</v>
      </c>
    </row>
    <row r="219" spans="7:8" x14ac:dyDescent="0.2">
      <c r="G219" s="1"/>
      <c r="H219">
        <f>Engagement_Summary[[#This Row],[New_Followers]]-Engagement_Summary[[#This Row],[Unfollows]]</f>
        <v>0</v>
      </c>
    </row>
    <row r="220" spans="7:8" x14ac:dyDescent="0.2">
      <c r="G220" s="1"/>
      <c r="H220">
        <f>Engagement_Summary[[#This Row],[New_Followers]]-Engagement_Summary[[#This Row],[Unfollows]]</f>
        <v>0</v>
      </c>
    </row>
    <row r="221" spans="7:8" x14ac:dyDescent="0.2">
      <c r="G221" s="1"/>
      <c r="H221">
        <f>Engagement_Summary[[#This Row],[New_Followers]]-Engagement_Summary[[#This Row],[Unfollows]]</f>
        <v>0</v>
      </c>
    </row>
    <row r="222" spans="7:8" x14ac:dyDescent="0.2">
      <c r="G222" s="1"/>
      <c r="H222">
        <f>Engagement_Summary[[#This Row],[New_Followers]]-Engagement_Summary[[#This Row],[Unfollows]]</f>
        <v>0</v>
      </c>
    </row>
    <row r="223" spans="7:8" x14ac:dyDescent="0.2">
      <c r="G223" s="1"/>
      <c r="H223">
        <f>Engagement_Summary[[#This Row],[New_Followers]]-Engagement_Summary[[#This Row],[Unfollows]]</f>
        <v>0</v>
      </c>
    </row>
    <row r="224" spans="7:8" x14ac:dyDescent="0.2">
      <c r="G224" s="1"/>
      <c r="H224">
        <f>Engagement_Summary[[#This Row],[New_Followers]]-Engagement_Summary[[#This Row],[Unfollows]]</f>
        <v>0</v>
      </c>
    </row>
    <row r="225" spans="7:8" x14ac:dyDescent="0.2">
      <c r="G225" s="1"/>
      <c r="H225">
        <f>Engagement_Summary[[#This Row],[New_Followers]]-Engagement_Summary[[#This Row],[Unfollows]]</f>
        <v>0</v>
      </c>
    </row>
    <row r="226" spans="7:8" x14ac:dyDescent="0.2">
      <c r="G226" s="1"/>
      <c r="H226">
        <f>Engagement_Summary[[#This Row],[New_Followers]]-Engagement_Summary[[#This Row],[Unfollows]]</f>
        <v>0</v>
      </c>
    </row>
    <row r="227" spans="7:8" x14ac:dyDescent="0.2">
      <c r="G227" s="1"/>
      <c r="H227">
        <f>Engagement_Summary[[#This Row],[New_Followers]]-Engagement_Summary[[#This Row],[Unfollows]]</f>
        <v>0</v>
      </c>
    </row>
    <row r="228" spans="7:8" x14ac:dyDescent="0.2">
      <c r="G228" s="1"/>
      <c r="H228">
        <f>Engagement_Summary[[#This Row],[New_Followers]]-Engagement_Summary[[#This Row],[Unfollows]]</f>
        <v>0</v>
      </c>
    </row>
    <row r="229" spans="7:8" x14ac:dyDescent="0.2">
      <c r="G229" s="1"/>
      <c r="H229">
        <f>Engagement_Summary[[#This Row],[New_Followers]]-Engagement_Summary[[#This Row],[Unfollows]]</f>
        <v>0</v>
      </c>
    </row>
    <row r="230" spans="7:8" x14ac:dyDescent="0.2">
      <c r="G230" s="1"/>
      <c r="H230">
        <f>Engagement_Summary[[#This Row],[New_Followers]]-Engagement_Summary[[#This Row],[Unfollows]]</f>
        <v>0</v>
      </c>
    </row>
    <row r="231" spans="7:8" x14ac:dyDescent="0.2">
      <c r="G231" s="1"/>
      <c r="H231">
        <f>Engagement_Summary[[#This Row],[New_Followers]]-Engagement_Summary[[#This Row],[Unfollows]]</f>
        <v>0</v>
      </c>
    </row>
    <row r="232" spans="7:8" x14ac:dyDescent="0.2">
      <c r="G232" s="1"/>
      <c r="H232">
        <f>Engagement_Summary[[#This Row],[New_Followers]]-Engagement_Summary[[#This Row],[Unfollows]]</f>
        <v>0</v>
      </c>
    </row>
    <row r="233" spans="7:8" x14ac:dyDescent="0.2">
      <c r="G233" s="1"/>
      <c r="H233">
        <f>Engagement_Summary[[#This Row],[New_Followers]]-Engagement_Summary[[#This Row],[Unfollows]]</f>
        <v>0</v>
      </c>
    </row>
    <row r="234" spans="7:8" x14ac:dyDescent="0.2">
      <c r="G234" s="1"/>
      <c r="H234">
        <f>Engagement_Summary[[#This Row],[New_Followers]]-Engagement_Summary[[#This Row],[Unfollows]]</f>
        <v>0</v>
      </c>
    </row>
    <row r="235" spans="7:8" x14ac:dyDescent="0.2">
      <c r="G235" s="1"/>
      <c r="H235">
        <f>Engagement_Summary[[#This Row],[New_Followers]]-Engagement_Summary[[#This Row],[Unfollows]]</f>
        <v>0</v>
      </c>
    </row>
    <row r="236" spans="7:8" x14ac:dyDescent="0.2">
      <c r="G236" s="1"/>
      <c r="H236">
        <f>Engagement_Summary[[#This Row],[New_Followers]]-Engagement_Summary[[#This Row],[Unfollows]]</f>
        <v>0</v>
      </c>
    </row>
    <row r="237" spans="7:8" x14ac:dyDescent="0.2">
      <c r="G237" s="1"/>
      <c r="H237">
        <f>Engagement_Summary[[#This Row],[New_Followers]]-Engagement_Summary[[#This Row],[Unfollows]]</f>
        <v>0</v>
      </c>
    </row>
    <row r="238" spans="7:8" x14ac:dyDescent="0.2">
      <c r="G238" s="1"/>
      <c r="H238">
        <f>Engagement_Summary[[#This Row],[New_Followers]]-Engagement_Summary[[#This Row],[Unfollows]]</f>
        <v>0</v>
      </c>
    </row>
    <row r="239" spans="7:8" x14ac:dyDescent="0.2">
      <c r="G239" s="1"/>
      <c r="H239">
        <f>Engagement_Summary[[#This Row],[New_Followers]]-Engagement_Summary[[#This Row],[Unfollows]]</f>
        <v>0</v>
      </c>
    </row>
    <row r="240" spans="7:8" x14ac:dyDescent="0.2">
      <c r="G240" s="1"/>
      <c r="H240">
        <f>Engagement_Summary[[#This Row],[New_Followers]]-Engagement_Summary[[#This Row],[Unfollows]]</f>
        <v>0</v>
      </c>
    </row>
    <row r="241" spans="7:8" x14ac:dyDescent="0.2">
      <c r="G241" s="1"/>
      <c r="H241">
        <f>Engagement_Summary[[#This Row],[New_Followers]]-Engagement_Summary[[#This Row],[Unfollows]]</f>
        <v>0</v>
      </c>
    </row>
    <row r="242" spans="7:8" x14ac:dyDescent="0.2">
      <c r="G242" s="1"/>
      <c r="H242">
        <f>Engagement_Summary[[#This Row],[New_Followers]]-Engagement_Summary[[#This Row],[Unfollows]]</f>
        <v>0</v>
      </c>
    </row>
    <row r="243" spans="7:8" x14ac:dyDescent="0.2">
      <c r="G243" s="1"/>
      <c r="H243">
        <f>Engagement_Summary[[#This Row],[New_Followers]]-Engagement_Summary[[#This Row],[Unfollows]]</f>
        <v>0</v>
      </c>
    </row>
    <row r="244" spans="7:8" x14ac:dyDescent="0.2">
      <c r="G244" s="1"/>
      <c r="H244">
        <f>Engagement_Summary[[#This Row],[New_Followers]]-Engagement_Summary[[#This Row],[Unfollows]]</f>
        <v>0</v>
      </c>
    </row>
    <row r="245" spans="7:8" x14ac:dyDescent="0.2">
      <c r="G245" s="1"/>
      <c r="H245">
        <f>Engagement_Summary[[#This Row],[New_Followers]]-Engagement_Summary[[#This Row],[Unfollows]]</f>
        <v>0</v>
      </c>
    </row>
    <row r="246" spans="7:8" x14ac:dyDescent="0.2">
      <c r="G246" s="1"/>
      <c r="H246">
        <f>Engagement_Summary[[#This Row],[New_Followers]]-Engagement_Summary[[#This Row],[Unfollows]]</f>
        <v>0</v>
      </c>
    </row>
    <row r="247" spans="7:8" x14ac:dyDescent="0.2">
      <c r="G247" s="1"/>
      <c r="H247">
        <f>Engagement_Summary[[#This Row],[New_Followers]]-Engagement_Summary[[#This Row],[Unfollows]]</f>
        <v>0</v>
      </c>
    </row>
    <row r="248" spans="7:8" x14ac:dyDescent="0.2">
      <c r="G248" s="1"/>
      <c r="H248">
        <f>Engagement_Summary[[#This Row],[New_Followers]]-Engagement_Summary[[#This Row],[Unfollows]]</f>
        <v>0</v>
      </c>
    </row>
    <row r="249" spans="7:8" x14ac:dyDescent="0.2">
      <c r="G249" s="1"/>
      <c r="H249">
        <f>Engagement_Summary[[#This Row],[New_Followers]]-Engagement_Summary[[#This Row],[Unfollows]]</f>
        <v>0</v>
      </c>
    </row>
    <row r="250" spans="7:8" x14ac:dyDescent="0.2">
      <c r="G250" s="1"/>
      <c r="H250">
        <f>Engagement_Summary[[#This Row],[New_Followers]]-Engagement_Summary[[#This Row],[Unfollows]]</f>
        <v>0</v>
      </c>
    </row>
    <row r="251" spans="7:8" x14ac:dyDescent="0.2">
      <c r="G251" s="1"/>
      <c r="H251">
        <f>Engagement_Summary[[#This Row],[New_Followers]]-Engagement_Summary[[#This Row],[Unfollows]]</f>
        <v>0</v>
      </c>
    </row>
    <row r="252" spans="7:8" x14ac:dyDescent="0.2">
      <c r="G252" s="1"/>
      <c r="H252">
        <f>Engagement_Summary[[#This Row],[New_Followers]]-Engagement_Summary[[#This Row],[Unfollows]]</f>
        <v>0</v>
      </c>
    </row>
    <row r="253" spans="7:8" x14ac:dyDescent="0.2">
      <c r="G253" s="1"/>
      <c r="H253">
        <f>Engagement_Summary[[#This Row],[New_Followers]]-Engagement_Summary[[#This Row],[Unfollows]]</f>
        <v>0</v>
      </c>
    </row>
    <row r="254" spans="7:8" x14ac:dyDescent="0.2">
      <c r="G254" s="1"/>
      <c r="H254">
        <f>Engagement_Summary[[#This Row],[New_Followers]]-Engagement_Summary[[#This Row],[Unfollows]]</f>
        <v>0</v>
      </c>
    </row>
    <row r="255" spans="7:8" x14ac:dyDescent="0.2">
      <c r="G255" s="1"/>
      <c r="H255">
        <f>Engagement_Summary[[#This Row],[New_Followers]]-Engagement_Summary[[#This Row],[Unfollows]]</f>
        <v>0</v>
      </c>
    </row>
    <row r="256" spans="7:8" x14ac:dyDescent="0.2">
      <c r="G256" s="1"/>
      <c r="H256">
        <f>Engagement_Summary[[#This Row],[New_Followers]]-Engagement_Summary[[#This Row],[Unfollows]]</f>
        <v>0</v>
      </c>
    </row>
    <row r="257" spans="7:8" x14ac:dyDescent="0.2">
      <c r="G257" s="1"/>
      <c r="H257">
        <f>Engagement_Summary[[#This Row],[New_Followers]]-Engagement_Summary[[#This Row],[Unfollows]]</f>
        <v>0</v>
      </c>
    </row>
    <row r="258" spans="7:8" x14ac:dyDescent="0.2">
      <c r="G258" s="1"/>
      <c r="H258">
        <f>Engagement_Summary[[#This Row],[New_Followers]]-Engagement_Summary[[#This Row],[Unfollows]]</f>
        <v>0</v>
      </c>
    </row>
    <row r="259" spans="7:8" x14ac:dyDescent="0.2">
      <c r="G259" s="1"/>
      <c r="H259">
        <f>Engagement_Summary[[#This Row],[New_Followers]]-Engagement_Summary[[#This Row],[Unfollows]]</f>
        <v>0</v>
      </c>
    </row>
    <row r="260" spans="7:8" x14ac:dyDescent="0.2">
      <c r="G260" s="1"/>
      <c r="H260">
        <f>Engagement_Summary[[#This Row],[New_Followers]]-Engagement_Summary[[#This Row],[Unfollows]]</f>
        <v>0</v>
      </c>
    </row>
    <row r="261" spans="7:8" x14ac:dyDescent="0.2">
      <c r="G261" s="1"/>
      <c r="H261">
        <f>Engagement_Summary[[#This Row],[New_Followers]]-Engagement_Summary[[#This Row],[Unfollows]]</f>
        <v>0</v>
      </c>
    </row>
    <row r="262" spans="7:8" x14ac:dyDescent="0.2">
      <c r="G262" s="1"/>
      <c r="H262">
        <f>Engagement_Summary[[#This Row],[New_Followers]]-Engagement_Summary[[#This Row],[Unfollows]]</f>
        <v>0</v>
      </c>
    </row>
    <row r="263" spans="7:8" x14ac:dyDescent="0.2">
      <c r="G263" s="1"/>
      <c r="H263">
        <f>Engagement_Summary[[#This Row],[New_Followers]]-Engagement_Summary[[#This Row],[Unfollows]]</f>
        <v>0</v>
      </c>
    </row>
    <row r="264" spans="7:8" x14ac:dyDescent="0.2">
      <c r="G264" s="1"/>
      <c r="H264">
        <f>Engagement_Summary[[#This Row],[New_Followers]]-Engagement_Summary[[#This Row],[Unfollows]]</f>
        <v>0</v>
      </c>
    </row>
    <row r="265" spans="7:8" x14ac:dyDescent="0.2">
      <c r="G265" s="1"/>
      <c r="H265">
        <f>Engagement_Summary[[#This Row],[New_Followers]]-Engagement_Summary[[#This Row],[Unfollows]]</f>
        <v>0</v>
      </c>
    </row>
    <row r="266" spans="7:8" x14ac:dyDescent="0.2">
      <c r="G266" s="1"/>
      <c r="H266">
        <f>Engagement_Summary[[#This Row],[New_Followers]]-Engagement_Summary[[#This Row],[Unfollows]]</f>
        <v>0</v>
      </c>
    </row>
    <row r="267" spans="7:8" x14ac:dyDescent="0.2">
      <c r="G267" s="1"/>
      <c r="H267">
        <f>Engagement_Summary[[#This Row],[New_Followers]]-Engagement_Summary[[#This Row],[Unfollows]]</f>
        <v>0</v>
      </c>
    </row>
    <row r="268" spans="7:8" x14ac:dyDescent="0.2">
      <c r="G268" s="1"/>
      <c r="H268">
        <f>Engagement_Summary[[#This Row],[New_Followers]]-Engagement_Summary[[#This Row],[Unfollows]]</f>
        <v>0</v>
      </c>
    </row>
    <row r="269" spans="7:8" x14ac:dyDescent="0.2">
      <c r="G269" s="1"/>
      <c r="H269">
        <f>Engagement_Summary[[#This Row],[New_Followers]]-Engagement_Summary[[#This Row],[Unfollows]]</f>
        <v>0</v>
      </c>
    </row>
    <row r="270" spans="7:8" x14ac:dyDescent="0.2">
      <c r="G270" s="1"/>
      <c r="H270">
        <f>Engagement_Summary[[#This Row],[New_Followers]]-Engagement_Summary[[#This Row],[Unfollows]]</f>
        <v>0</v>
      </c>
    </row>
    <row r="271" spans="7:8" x14ac:dyDescent="0.2">
      <c r="G271" s="1"/>
      <c r="H271">
        <f>Engagement_Summary[[#This Row],[New_Followers]]-Engagement_Summary[[#This Row],[Unfollows]]</f>
        <v>0</v>
      </c>
    </row>
    <row r="272" spans="7:8" x14ac:dyDescent="0.2">
      <c r="G272" s="1"/>
      <c r="H272">
        <f>Engagement_Summary[[#This Row],[New_Followers]]-Engagement_Summary[[#This Row],[Unfollows]]</f>
        <v>0</v>
      </c>
    </row>
    <row r="273" spans="7:8" x14ac:dyDescent="0.2">
      <c r="G273" s="1"/>
      <c r="H273">
        <f>Engagement_Summary[[#This Row],[New_Followers]]-Engagement_Summary[[#This Row],[Unfollows]]</f>
        <v>0</v>
      </c>
    </row>
    <row r="274" spans="7:8" x14ac:dyDescent="0.2">
      <c r="G274" s="1"/>
      <c r="H274">
        <f>Engagement_Summary[[#This Row],[New_Followers]]-Engagement_Summary[[#This Row],[Unfollows]]</f>
        <v>0</v>
      </c>
    </row>
    <row r="275" spans="7:8" x14ac:dyDescent="0.2">
      <c r="G275" s="1"/>
      <c r="H275">
        <f>Engagement_Summary[[#This Row],[New_Followers]]-Engagement_Summary[[#This Row],[Unfollows]]</f>
        <v>0</v>
      </c>
    </row>
    <row r="276" spans="7:8" x14ac:dyDescent="0.2">
      <c r="G276" s="1"/>
      <c r="H276">
        <f>Engagement_Summary[[#This Row],[New_Followers]]-Engagement_Summary[[#This Row],[Unfollows]]</f>
        <v>0</v>
      </c>
    </row>
    <row r="277" spans="7:8" x14ac:dyDescent="0.2">
      <c r="G277" s="1"/>
      <c r="H277">
        <f>Engagement_Summary[[#This Row],[New_Followers]]-Engagement_Summary[[#This Row],[Unfollows]]</f>
        <v>0</v>
      </c>
    </row>
    <row r="278" spans="7:8" x14ac:dyDescent="0.2">
      <c r="G278" s="1"/>
      <c r="H278">
        <f>Engagement_Summary[[#This Row],[New_Followers]]-Engagement_Summary[[#This Row],[Unfollows]]</f>
        <v>0</v>
      </c>
    </row>
    <row r="279" spans="7:8" x14ac:dyDescent="0.2">
      <c r="G279" s="1"/>
      <c r="H279">
        <f>Engagement_Summary[[#This Row],[New_Followers]]-Engagement_Summary[[#This Row],[Unfollows]]</f>
        <v>0</v>
      </c>
    </row>
    <row r="280" spans="7:8" x14ac:dyDescent="0.2">
      <c r="G280" s="1"/>
      <c r="H280">
        <f>Engagement_Summary[[#This Row],[New_Followers]]-Engagement_Summary[[#This Row],[Unfollows]]</f>
        <v>0</v>
      </c>
    </row>
    <row r="281" spans="7:8" x14ac:dyDescent="0.2">
      <c r="G281" s="1"/>
      <c r="H281">
        <f>Engagement_Summary[[#This Row],[New_Followers]]-Engagement_Summary[[#This Row],[Unfollows]]</f>
        <v>0</v>
      </c>
    </row>
    <row r="282" spans="7:8" x14ac:dyDescent="0.2">
      <c r="G282" s="1"/>
      <c r="H282">
        <f>Engagement_Summary[[#This Row],[New_Followers]]-Engagement_Summary[[#This Row],[Unfollows]]</f>
        <v>0</v>
      </c>
    </row>
    <row r="283" spans="7:8" x14ac:dyDescent="0.2">
      <c r="G283" s="1"/>
      <c r="H283">
        <f>Engagement_Summary[[#This Row],[New_Followers]]-Engagement_Summary[[#This Row],[Unfollows]]</f>
        <v>0</v>
      </c>
    </row>
    <row r="284" spans="7:8" x14ac:dyDescent="0.2">
      <c r="G284" s="1"/>
      <c r="H284">
        <f>Engagement_Summary[[#This Row],[New_Followers]]-Engagement_Summary[[#This Row],[Unfollows]]</f>
        <v>0</v>
      </c>
    </row>
    <row r="285" spans="7:8" x14ac:dyDescent="0.2">
      <c r="G285" s="1"/>
      <c r="H285">
        <f>Engagement_Summary[[#This Row],[New_Followers]]-Engagement_Summary[[#This Row],[Unfollows]]</f>
        <v>0</v>
      </c>
    </row>
    <row r="286" spans="7:8" x14ac:dyDescent="0.2">
      <c r="G286" s="1"/>
      <c r="H286">
        <f>Engagement_Summary[[#This Row],[New_Followers]]-Engagement_Summary[[#This Row],[Unfollows]]</f>
        <v>0</v>
      </c>
    </row>
    <row r="287" spans="7:8" x14ac:dyDescent="0.2">
      <c r="G287" s="1"/>
      <c r="H287">
        <f>Engagement_Summary[[#This Row],[New_Followers]]-Engagement_Summary[[#This Row],[Unfollows]]</f>
        <v>0</v>
      </c>
    </row>
    <row r="288" spans="7:8" x14ac:dyDescent="0.2">
      <c r="G288" s="1"/>
      <c r="H288">
        <f>Engagement_Summary[[#This Row],[New_Followers]]-Engagement_Summary[[#This Row],[Unfollows]]</f>
        <v>0</v>
      </c>
    </row>
    <row r="289" spans="7:8" x14ac:dyDescent="0.2">
      <c r="G289" s="1"/>
      <c r="H289">
        <f>Engagement_Summary[[#This Row],[New_Followers]]-Engagement_Summary[[#This Row],[Unfollows]]</f>
        <v>0</v>
      </c>
    </row>
    <row r="290" spans="7:8" x14ac:dyDescent="0.2">
      <c r="G290" s="1"/>
      <c r="H290">
        <f>Engagement_Summary[[#This Row],[New_Followers]]-Engagement_Summary[[#This Row],[Unfollows]]</f>
        <v>0</v>
      </c>
    </row>
    <row r="291" spans="7:8" x14ac:dyDescent="0.2">
      <c r="G291" s="1"/>
      <c r="H291">
        <f>Engagement_Summary[[#This Row],[New_Followers]]-Engagement_Summary[[#This Row],[Unfollows]]</f>
        <v>0</v>
      </c>
    </row>
    <row r="292" spans="7:8" x14ac:dyDescent="0.2">
      <c r="G292" s="1"/>
      <c r="H292">
        <f>Engagement_Summary[[#This Row],[New_Followers]]-Engagement_Summary[[#This Row],[Unfollows]]</f>
        <v>0</v>
      </c>
    </row>
    <row r="293" spans="7:8" x14ac:dyDescent="0.2">
      <c r="G293" s="1"/>
      <c r="H293">
        <f>Engagement_Summary[[#This Row],[New_Followers]]-Engagement_Summary[[#This Row],[Unfollows]]</f>
        <v>0</v>
      </c>
    </row>
    <row r="294" spans="7:8" x14ac:dyDescent="0.2">
      <c r="G294" s="1"/>
      <c r="H294">
        <f>Engagement_Summary[[#This Row],[New_Followers]]-Engagement_Summary[[#This Row],[Unfollows]]</f>
        <v>0</v>
      </c>
    </row>
    <row r="295" spans="7:8" x14ac:dyDescent="0.2">
      <c r="G295" s="1"/>
      <c r="H295">
        <f>Engagement_Summary[[#This Row],[New_Followers]]-Engagement_Summary[[#This Row],[Unfollows]]</f>
        <v>0</v>
      </c>
    </row>
    <row r="296" spans="7:8" x14ac:dyDescent="0.2">
      <c r="G296" s="1"/>
      <c r="H296">
        <f>Engagement_Summary[[#This Row],[New_Followers]]-Engagement_Summary[[#This Row],[Unfollows]]</f>
        <v>0</v>
      </c>
    </row>
    <row r="297" spans="7:8" x14ac:dyDescent="0.2">
      <c r="G297" s="1"/>
      <c r="H297">
        <f>Engagement_Summary[[#This Row],[New_Followers]]-Engagement_Summary[[#This Row],[Unfollows]]</f>
        <v>0</v>
      </c>
    </row>
    <row r="298" spans="7:8" x14ac:dyDescent="0.2">
      <c r="G298" s="1"/>
      <c r="H298">
        <f>Engagement_Summary[[#This Row],[New_Followers]]-Engagement_Summary[[#This Row],[Unfollows]]</f>
        <v>0</v>
      </c>
    </row>
    <row r="299" spans="7:8" x14ac:dyDescent="0.2">
      <c r="G299" s="1"/>
      <c r="H299">
        <f>Engagement_Summary[[#This Row],[New_Followers]]-Engagement_Summary[[#This Row],[Unfollows]]</f>
        <v>0</v>
      </c>
    </row>
    <row r="300" spans="7:8" x14ac:dyDescent="0.2">
      <c r="G300" s="1"/>
      <c r="H300">
        <f>Engagement_Summary[[#This Row],[New_Followers]]-Engagement_Summary[[#This Row],[Unfollows]]</f>
        <v>0</v>
      </c>
    </row>
    <row r="301" spans="7:8" x14ac:dyDescent="0.2">
      <c r="G301" s="1"/>
      <c r="H301">
        <f>Engagement_Summary[[#This Row],[New_Followers]]-Engagement_Summary[[#This Row],[Unfollows]]</f>
        <v>0</v>
      </c>
    </row>
    <row r="302" spans="7:8" x14ac:dyDescent="0.2">
      <c r="G302" s="1"/>
      <c r="H302">
        <f>Engagement_Summary[[#This Row],[New_Followers]]-Engagement_Summary[[#This Row],[Unfollows]]</f>
        <v>0</v>
      </c>
    </row>
    <row r="303" spans="7:8" x14ac:dyDescent="0.2">
      <c r="G303" s="1"/>
      <c r="H303">
        <f>Engagement_Summary[[#This Row],[New_Followers]]-Engagement_Summary[[#This Row],[Unfollows]]</f>
        <v>0</v>
      </c>
    </row>
    <row r="304" spans="7:8" x14ac:dyDescent="0.2">
      <c r="G304" s="1"/>
      <c r="H304">
        <f>Engagement_Summary[[#This Row],[New_Followers]]-Engagement_Summary[[#This Row],[Unfollows]]</f>
        <v>0</v>
      </c>
    </row>
    <row r="305" spans="7:8" x14ac:dyDescent="0.2">
      <c r="G305" s="1"/>
      <c r="H305">
        <f>Engagement_Summary[[#This Row],[New_Followers]]-Engagement_Summary[[#This Row],[Unfollows]]</f>
        <v>0</v>
      </c>
    </row>
    <row r="306" spans="7:8" x14ac:dyDescent="0.2">
      <c r="G306" s="1"/>
      <c r="H306">
        <f>Engagement_Summary[[#This Row],[New_Followers]]-Engagement_Summary[[#This Row],[Unfollows]]</f>
        <v>0</v>
      </c>
    </row>
    <row r="307" spans="7:8" x14ac:dyDescent="0.2">
      <c r="G307" s="1"/>
      <c r="H307">
        <f>Engagement_Summary[[#This Row],[New_Followers]]-Engagement_Summary[[#This Row],[Unfollows]]</f>
        <v>0</v>
      </c>
    </row>
    <row r="308" spans="7:8" x14ac:dyDescent="0.2">
      <c r="G308" s="1"/>
      <c r="H308">
        <f>Engagement_Summary[[#This Row],[New_Followers]]-Engagement_Summary[[#This Row],[Unfollows]]</f>
        <v>0</v>
      </c>
    </row>
    <row r="309" spans="7:8" x14ac:dyDescent="0.2">
      <c r="G309" s="1"/>
      <c r="H309">
        <f>Engagement_Summary[[#This Row],[New_Followers]]-Engagement_Summary[[#This Row],[Unfollows]]</f>
        <v>0</v>
      </c>
    </row>
    <row r="310" spans="7:8" x14ac:dyDescent="0.2">
      <c r="G310" s="1"/>
      <c r="H310">
        <f>Engagement_Summary[[#This Row],[New_Followers]]-Engagement_Summary[[#This Row],[Unfollows]]</f>
        <v>0</v>
      </c>
    </row>
    <row r="311" spans="7:8" x14ac:dyDescent="0.2">
      <c r="G311" s="1"/>
      <c r="H311">
        <f>Engagement_Summary[[#This Row],[New_Followers]]-Engagement_Summary[[#This Row],[Unfollows]]</f>
        <v>0</v>
      </c>
    </row>
    <row r="312" spans="7:8" x14ac:dyDescent="0.2">
      <c r="G312" s="1"/>
      <c r="H312">
        <f>Engagement_Summary[[#This Row],[New_Followers]]-Engagement_Summary[[#This Row],[Unfollows]]</f>
        <v>0</v>
      </c>
    </row>
    <row r="313" spans="7:8" x14ac:dyDescent="0.2">
      <c r="G313" s="1"/>
      <c r="H313">
        <f>Engagement_Summary[[#This Row],[New_Followers]]-Engagement_Summary[[#This Row],[Unfollows]]</f>
        <v>0</v>
      </c>
    </row>
    <row r="314" spans="7:8" x14ac:dyDescent="0.2">
      <c r="G314" s="1"/>
      <c r="H314">
        <f>Engagement_Summary[[#This Row],[New_Followers]]-Engagement_Summary[[#This Row],[Unfollows]]</f>
        <v>0</v>
      </c>
    </row>
    <row r="315" spans="7:8" x14ac:dyDescent="0.2">
      <c r="G315" s="1"/>
      <c r="H315">
        <f>Engagement_Summary[[#This Row],[New_Followers]]-Engagement_Summary[[#This Row],[Unfollows]]</f>
        <v>0</v>
      </c>
    </row>
    <row r="316" spans="7:8" x14ac:dyDescent="0.2">
      <c r="G316" s="1"/>
      <c r="H316">
        <f>Engagement_Summary[[#This Row],[New_Followers]]-Engagement_Summary[[#This Row],[Unfollows]]</f>
        <v>0</v>
      </c>
    </row>
    <row r="317" spans="7:8" x14ac:dyDescent="0.2">
      <c r="G317" s="1"/>
      <c r="H317">
        <f>Engagement_Summary[[#This Row],[New_Followers]]-Engagement_Summary[[#This Row],[Unfollows]]</f>
        <v>0</v>
      </c>
    </row>
    <row r="318" spans="7:8" x14ac:dyDescent="0.2">
      <c r="G318" s="1"/>
      <c r="H318">
        <f>Engagement_Summary[[#This Row],[New_Followers]]-Engagement_Summary[[#This Row],[Unfollows]]</f>
        <v>0</v>
      </c>
    </row>
    <row r="319" spans="7:8" x14ac:dyDescent="0.2">
      <c r="G319" s="1"/>
      <c r="H319">
        <f>Engagement_Summary[[#This Row],[New_Followers]]-Engagement_Summary[[#This Row],[Unfollows]]</f>
        <v>0</v>
      </c>
    </row>
    <row r="320" spans="7:8" x14ac:dyDescent="0.2">
      <c r="G320" s="1"/>
      <c r="H320">
        <f>Engagement_Summary[[#This Row],[New_Followers]]-Engagement_Summary[[#This Row],[Unfollows]]</f>
        <v>0</v>
      </c>
    </row>
    <row r="321" spans="7:8" x14ac:dyDescent="0.2">
      <c r="G321" s="1"/>
      <c r="H321">
        <f>Engagement_Summary[[#This Row],[New_Followers]]-Engagement_Summary[[#This Row],[Unfollows]]</f>
        <v>0</v>
      </c>
    </row>
    <row r="322" spans="7:8" x14ac:dyDescent="0.2">
      <c r="G322" s="1"/>
      <c r="H322">
        <f>Engagement_Summary[[#This Row],[New_Followers]]-Engagement_Summary[[#This Row],[Unfollows]]</f>
        <v>0</v>
      </c>
    </row>
    <row r="323" spans="7:8" x14ac:dyDescent="0.2">
      <c r="G323" s="1"/>
      <c r="H323">
        <f>Engagement_Summary[[#This Row],[New_Followers]]-Engagement_Summary[[#This Row],[Unfollows]]</f>
        <v>0</v>
      </c>
    </row>
    <row r="324" spans="7:8" x14ac:dyDescent="0.2">
      <c r="G324" s="1"/>
      <c r="H324">
        <f>Engagement_Summary[[#This Row],[New_Followers]]-Engagement_Summary[[#This Row],[Unfollows]]</f>
        <v>0</v>
      </c>
    </row>
    <row r="325" spans="7:8" x14ac:dyDescent="0.2">
      <c r="G325" s="1"/>
      <c r="H325">
        <f>Engagement_Summary[[#This Row],[New_Followers]]-Engagement_Summary[[#This Row],[Unfollows]]</f>
        <v>0</v>
      </c>
    </row>
    <row r="326" spans="7:8" x14ac:dyDescent="0.2">
      <c r="G326" s="1"/>
      <c r="H326">
        <f>Engagement_Summary[[#This Row],[New_Followers]]-Engagement_Summary[[#This Row],[Unfollows]]</f>
        <v>0</v>
      </c>
    </row>
    <row r="327" spans="7:8" x14ac:dyDescent="0.2">
      <c r="G327" s="1"/>
      <c r="H327">
        <f>Engagement_Summary[[#This Row],[New_Followers]]-Engagement_Summary[[#This Row],[Unfollows]]</f>
        <v>0</v>
      </c>
    </row>
    <row r="328" spans="7:8" x14ac:dyDescent="0.2">
      <c r="G328" s="1"/>
      <c r="H328">
        <f>Engagement_Summary[[#This Row],[New_Followers]]-Engagement_Summary[[#This Row],[Unfollows]]</f>
        <v>0</v>
      </c>
    </row>
    <row r="329" spans="7:8" x14ac:dyDescent="0.2">
      <c r="G329" s="1"/>
      <c r="H329">
        <f>Engagement_Summary[[#This Row],[New_Followers]]-Engagement_Summary[[#This Row],[Unfollows]]</f>
        <v>0</v>
      </c>
    </row>
    <row r="330" spans="7:8" x14ac:dyDescent="0.2">
      <c r="G330" s="1"/>
      <c r="H330">
        <f>Engagement_Summary[[#This Row],[New_Followers]]-Engagement_Summary[[#This Row],[Unfollows]]</f>
        <v>0</v>
      </c>
    </row>
    <row r="331" spans="7:8" x14ac:dyDescent="0.2">
      <c r="G331" s="1"/>
      <c r="H331">
        <f>Engagement_Summary[[#This Row],[New_Followers]]-Engagement_Summary[[#This Row],[Unfollows]]</f>
        <v>0</v>
      </c>
    </row>
    <row r="332" spans="7:8" x14ac:dyDescent="0.2">
      <c r="G332" s="1"/>
      <c r="H332">
        <f>Engagement_Summary[[#This Row],[New_Followers]]-Engagement_Summary[[#This Row],[Unfollows]]</f>
        <v>0</v>
      </c>
    </row>
    <row r="333" spans="7:8" x14ac:dyDescent="0.2">
      <c r="G333" s="1"/>
      <c r="H333">
        <f>Engagement_Summary[[#This Row],[New_Followers]]-Engagement_Summary[[#This Row],[Unfollows]]</f>
        <v>0</v>
      </c>
    </row>
    <row r="334" spans="7:8" x14ac:dyDescent="0.2">
      <c r="G334" s="1"/>
      <c r="H334">
        <f>Engagement_Summary[[#This Row],[New_Followers]]-Engagement_Summary[[#This Row],[Unfollows]]</f>
        <v>0</v>
      </c>
    </row>
    <row r="335" spans="7:8" x14ac:dyDescent="0.2">
      <c r="G335" s="1"/>
      <c r="H335">
        <f>Engagement_Summary[[#This Row],[New_Followers]]-Engagement_Summary[[#This Row],[Unfollows]]</f>
        <v>0</v>
      </c>
    </row>
    <row r="336" spans="7:8" x14ac:dyDescent="0.2">
      <c r="G336" s="1"/>
      <c r="H336">
        <f>Engagement_Summary[[#This Row],[New_Followers]]-Engagement_Summary[[#This Row],[Unfollows]]</f>
        <v>0</v>
      </c>
    </row>
    <row r="337" spans="7:8" x14ac:dyDescent="0.2">
      <c r="G337" s="1"/>
      <c r="H337">
        <f>Engagement_Summary[[#This Row],[New_Followers]]-Engagement_Summary[[#This Row],[Unfollows]]</f>
        <v>0</v>
      </c>
    </row>
    <row r="338" spans="7:8" x14ac:dyDescent="0.2">
      <c r="G338" s="1"/>
      <c r="H338">
        <f>Engagement_Summary[[#This Row],[New_Followers]]-Engagement_Summary[[#This Row],[Unfollows]]</f>
        <v>0</v>
      </c>
    </row>
    <row r="339" spans="7:8" x14ac:dyDescent="0.2">
      <c r="G339" s="1"/>
      <c r="H339">
        <f>Engagement_Summary[[#This Row],[New_Followers]]-Engagement_Summary[[#This Row],[Unfollows]]</f>
        <v>0</v>
      </c>
    </row>
    <row r="340" spans="7:8" x14ac:dyDescent="0.2">
      <c r="G340" s="1"/>
      <c r="H340">
        <f>Engagement_Summary[[#This Row],[New_Followers]]-Engagement_Summary[[#This Row],[Unfollows]]</f>
        <v>0</v>
      </c>
    </row>
    <row r="341" spans="7:8" x14ac:dyDescent="0.2">
      <c r="G341" s="1"/>
      <c r="H341">
        <f>Engagement_Summary[[#This Row],[New_Followers]]-Engagement_Summary[[#This Row],[Unfollows]]</f>
        <v>0</v>
      </c>
    </row>
    <row r="342" spans="7:8" x14ac:dyDescent="0.2">
      <c r="G342" s="1"/>
      <c r="H342">
        <f>Engagement_Summary[[#This Row],[New_Followers]]-Engagement_Summary[[#This Row],[Unfollows]]</f>
        <v>0</v>
      </c>
    </row>
    <row r="343" spans="7:8" x14ac:dyDescent="0.2">
      <c r="G343" s="1"/>
      <c r="H343">
        <f>Engagement_Summary[[#This Row],[New_Followers]]-Engagement_Summary[[#This Row],[Unfollows]]</f>
        <v>0</v>
      </c>
    </row>
    <row r="344" spans="7:8" x14ac:dyDescent="0.2">
      <c r="G344" s="1"/>
      <c r="H344">
        <f>Engagement_Summary[[#This Row],[New_Followers]]-Engagement_Summary[[#This Row],[Unfollows]]</f>
        <v>0</v>
      </c>
    </row>
    <row r="345" spans="7:8" x14ac:dyDescent="0.2">
      <c r="G345" s="1"/>
      <c r="H345">
        <f>Engagement_Summary[[#This Row],[New_Followers]]-Engagement_Summary[[#This Row],[Unfollows]]</f>
        <v>0</v>
      </c>
    </row>
    <row r="346" spans="7:8" x14ac:dyDescent="0.2">
      <c r="G346" s="1"/>
      <c r="H346">
        <f>Engagement_Summary[[#This Row],[New_Followers]]-Engagement_Summary[[#This Row],[Unfollows]]</f>
        <v>0</v>
      </c>
    </row>
    <row r="347" spans="7:8" x14ac:dyDescent="0.2">
      <c r="G347" s="1"/>
      <c r="H347">
        <f>Engagement_Summary[[#This Row],[New_Followers]]-Engagement_Summary[[#This Row],[Unfollows]]</f>
        <v>0</v>
      </c>
    </row>
    <row r="348" spans="7:8" x14ac:dyDescent="0.2">
      <c r="G348" s="1"/>
      <c r="H348">
        <f>Engagement_Summary[[#This Row],[New_Followers]]-Engagement_Summary[[#This Row],[Unfollows]]</f>
        <v>0</v>
      </c>
    </row>
    <row r="349" spans="7:8" x14ac:dyDescent="0.2">
      <c r="G349" s="1"/>
      <c r="H349">
        <f>Engagement_Summary[[#This Row],[New_Followers]]-Engagement_Summary[[#This Row],[Unfollows]]</f>
        <v>0</v>
      </c>
    </row>
    <row r="350" spans="7:8" x14ac:dyDescent="0.2">
      <c r="G350" s="1"/>
      <c r="H350">
        <f>Engagement_Summary[[#This Row],[New_Followers]]-Engagement_Summary[[#This Row],[Unfollows]]</f>
        <v>0</v>
      </c>
    </row>
    <row r="351" spans="7:8" x14ac:dyDescent="0.2">
      <c r="G351" s="1"/>
      <c r="H351">
        <f>Engagement_Summary[[#This Row],[New_Followers]]-Engagement_Summary[[#This Row],[Unfollows]]</f>
        <v>0</v>
      </c>
    </row>
    <row r="352" spans="7:8" x14ac:dyDescent="0.2">
      <c r="G352" s="1"/>
      <c r="H352">
        <f>Engagement_Summary[[#This Row],[New_Followers]]-Engagement_Summary[[#This Row],[Unfollows]]</f>
        <v>0</v>
      </c>
    </row>
    <row r="353" spans="7:8" x14ac:dyDescent="0.2">
      <c r="G353" s="1"/>
      <c r="H353">
        <f>Engagement_Summary[[#This Row],[New_Followers]]-Engagement_Summary[[#This Row],[Unfollows]]</f>
        <v>0</v>
      </c>
    </row>
    <row r="354" spans="7:8" x14ac:dyDescent="0.2">
      <c r="G354" s="1"/>
      <c r="H354">
        <f>Engagement_Summary[[#This Row],[New_Followers]]-Engagement_Summary[[#This Row],[Unfollows]]</f>
        <v>0</v>
      </c>
    </row>
    <row r="355" spans="7:8" x14ac:dyDescent="0.2">
      <c r="G355" s="1"/>
      <c r="H355">
        <f>Engagement_Summary[[#This Row],[New_Followers]]-Engagement_Summary[[#This Row],[Unfollows]]</f>
        <v>0</v>
      </c>
    </row>
    <row r="356" spans="7:8" x14ac:dyDescent="0.2">
      <c r="G356" s="1"/>
      <c r="H356">
        <f>Engagement_Summary[[#This Row],[New_Followers]]-Engagement_Summary[[#This Row],[Unfollows]]</f>
        <v>0</v>
      </c>
    </row>
    <row r="357" spans="7:8" x14ac:dyDescent="0.2">
      <c r="G357" s="1"/>
      <c r="H357">
        <f>Engagement_Summary[[#This Row],[New_Followers]]-Engagement_Summary[[#This Row],[Unfollows]]</f>
        <v>0</v>
      </c>
    </row>
    <row r="358" spans="7:8" x14ac:dyDescent="0.2">
      <c r="G358" s="1"/>
      <c r="H358">
        <f>Engagement_Summary[[#This Row],[New_Followers]]-Engagement_Summary[[#This Row],[Unfollows]]</f>
        <v>0</v>
      </c>
    </row>
    <row r="359" spans="7:8" x14ac:dyDescent="0.2">
      <c r="G359" s="1"/>
      <c r="H359">
        <f>Engagement_Summary[[#This Row],[New_Followers]]-Engagement_Summary[[#This Row],[Unfollows]]</f>
        <v>0</v>
      </c>
    </row>
    <row r="360" spans="7:8" x14ac:dyDescent="0.2">
      <c r="G360" s="1"/>
      <c r="H360">
        <f>Engagement_Summary[[#This Row],[New_Followers]]-Engagement_Summary[[#This Row],[Unfollows]]</f>
        <v>0</v>
      </c>
    </row>
    <row r="361" spans="7:8" x14ac:dyDescent="0.2">
      <c r="G361" s="1"/>
      <c r="H361">
        <f>Engagement_Summary[[#This Row],[New_Followers]]-Engagement_Summary[[#This Row],[Unfollows]]</f>
        <v>0</v>
      </c>
    </row>
    <row r="362" spans="7:8" x14ac:dyDescent="0.2">
      <c r="G362" s="1"/>
      <c r="H362">
        <f>Engagement_Summary[[#This Row],[New_Followers]]-Engagement_Summary[[#This Row],[Unfollows]]</f>
        <v>0</v>
      </c>
    </row>
    <row r="363" spans="7:8" x14ac:dyDescent="0.2">
      <c r="G363" s="1"/>
      <c r="H363">
        <f>Engagement_Summary[[#This Row],[New_Followers]]-Engagement_Summary[[#This Row],[Unfollows]]</f>
        <v>0</v>
      </c>
    </row>
    <row r="364" spans="7:8" x14ac:dyDescent="0.2">
      <c r="G364" s="1"/>
      <c r="H364">
        <f>Engagement_Summary[[#This Row],[New_Followers]]-Engagement_Summary[[#This Row],[Unfollows]]</f>
        <v>0</v>
      </c>
    </row>
    <row r="365" spans="7:8" x14ac:dyDescent="0.2">
      <c r="G365" s="1"/>
      <c r="H365">
        <f>Engagement_Summary[[#This Row],[New_Followers]]-Engagement_Summary[[#This Row],[Unfollows]]</f>
        <v>0</v>
      </c>
    </row>
    <row r="366" spans="7:8" x14ac:dyDescent="0.2">
      <c r="G366" s="1"/>
      <c r="H366">
        <f>Engagement_Summary[[#This Row],[New_Followers]]-Engagement_Summary[[#This Row],[Unfollows]]</f>
        <v>0</v>
      </c>
    </row>
    <row r="367" spans="7:8" x14ac:dyDescent="0.2">
      <c r="G367" s="1"/>
      <c r="H367">
        <f>Engagement_Summary[[#This Row],[New_Followers]]-Engagement_Summary[[#This Row],[Unfollows]]</f>
        <v>0</v>
      </c>
    </row>
    <row r="368" spans="7:8" x14ac:dyDescent="0.2">
      <c r="G368" s="1"/>
      <c r="H368">
        <f>Engagement_Summary[[#This Row],[New_Followers]]-Engagement_Summary[[#This Row],[Unfollows]]</f>
        <v>0</v>
      </c>
    </row>
    <row r="369" spans="7:8" x14ac:dyDescent="0.2">
      <c r="G369" s="1"/>
      <c r="H369">
        <f>Engagement_Summary[[#This Row],[New_Followers]]-Engagement_Summary[[#This Row],[Unfollows]]</f>
        <v>0</v>
      </c>
    </row>
    <row r="370" spans="7:8" x14ac:dyDescent="0.2">
      <c r="G370" s="1"/>
      <c r="H370">
        <f>Engagement_Summary[[#This Row],[New_Followers]]-Engagement_Summary[[#This Row],[Unfollows]]</f>
        <v>0</v>
      </c>
    </row>
    <row r="371" spans="7:8" x14ac:dyDescent="0.2">
      <c r="G371" s="1"/>
      <c r="H371">
        <f>Engagement_Summary[[#This Row],[New_Followers]]-Engagement_Summary[[#This Row],[Unfollows]]</f>
        <v>0</v>
      </c>
    </row>
    <row r="372" spans="7:8" x14ac:dyDescent="0.2">
      <c r="G372" s="1"/>
      <c r="H372">
        <f>Engagement_Summary[[#This Row],[New_Followers]]-Engagement_Summary[[#This Row],[Unfollows]]</f>
        <v>0</v>
      </c>
    </row>
    <row r="373" spans="7:8" x14ac:dyDescent="0.2">
      <c r="G373" s="1"/>
      <c r="H373">
        <f>Engagement_Summary[[#This Row],[New_Followers]]-Engagement_Summary[[#This Row],[Unfollows]]</f>
        <v>0</v>
      </c>
    </row>
    <row r="374" spans="7:8" x14ac:dyDescent="0.2">
      <c r="G374" s="1"/>
      <c r="H374">
        <f>Engagement_Summary[[#This Row],[New_Followers]]-Engagement_Summary[[#This Row],[Unfollows]]</f>
        <v>0</v>
      </c>
    </row>
    <row r="375" spans="7:8" x14ac:dyDescent="0.2">
      <c r="G375" s="1"/>
      <c r="H375">
        <f>Engagement_Summary[[#This Row],[New_Followers]]-Engagement_Summary[[#This Row],[Unfollows]]</f>
        <v>0</v>
      </c>
    </row>
    <row r="376" spans="7:8" x14ac:dyDescent="0.2">
      <c r="G376" s="1"/>
      <c r="H376">
        <f>Engagement_Summary[[#This Row],[New_Followers]]-Engagement_Summary[[#This Row],[Unfollows]]</f>
        <v>0</v>
      </c>
    </row>
    <row r="377" spans="7:8" x14ac:dyDescent="0.2">
      <c r="G377" s="1"/>
      <c r="H377">
        <f>Engagement_Summary[[#This Row],[New_Followers]]-Engagement_Summary[[#This Row],[Unfollows]]</f>
        <v>0</v>
      </c>
    </row>
    <row r="378" spans="7:8" x14ac:dyDescent="0.2">
      <c r="G378" s="1"/>
      <c r="H378">
        <f>Engagement_Summary[[#This Row],[New_Followers]]-Engagement_Summary[[#This Row],[Unfollows]]</f>
        <v>0</v>
      </c>
    </row>
    <row r="379" spans="7:8" x14ac:dyDescent="0.2">
      <c r="G379" s="1"/>
      <c r="H379">
        <f>Engagement_Summary[[#This Row],[New_Followers]]-Engagement_Summary[[#This Row],[Unfollows]]</f>
        <v>0</v>
      </c>
    </row>
    <row r="380" spans="7:8" x14ac:dyDescent="0.2">
      <c r="G380" s="1"/>
      <c r="H380">
        <f>Engagement_Summary[[#This Row],[New_Followers]]-Engagement_Summary[[#This Row],[Unfollows]]</f>
        <v>0</v>
      </c>
    </row>
    <row r="381" spans="7:8" x14ac:dyDescent="0.2">
      <c r="G381" s="1"/>
      <c r="H381">
        <f>Engagement_Summary[[#This Row],[New_Followers]]-Engagement_Summary[[#This Row],[Unfollows]]</f>
        <v>0</v>
      </c>
    </row>
    <row r="382" spans="7:8" x14ac:dyDescent="0.2">
      <c r="G382" s="1"/>
      <c r="H382">
        <f>Engagement_Summary[[#This Row],[New_Followers]]-Engagement_Summary[[#This Row],[Unfollows]]</f>
        <v>0</v>
      </c>
    </row>
    <row r="383" spans="7:8" x14ac:dyDescent="0.2">
      <c r="G383" s="1"/>
      <c r="H383">
        <f>Engagement_Summary[[#This Row],[New_Followers]]-Engagement_Summary[[#This Row],[Unfollows]]</f>
        <v>0</v>
      </c>
    </row>
    <row r="384" spans="7:8" x14ac:dyDescent="0.2">
      <c r="G384" s="1"/>
      <c r="H384">
        <f>Engagement_Summary[[#This Row],[New_Followers]]-Engagement_Summary[[#This Row],[Unfollows]]</f>
        <v>0</v>
      </c>
    </row>
    <row r="385" spans="7:8" x14ac:dyDescent="0.2">
      <c r="G385" s="1"/>
      <c r="H385">
        <f>Engagement_Summary[[#This Row],[New_Followers]]-Engagement_Summary[[#This Row],[Unfollows]]</f>
        <v>0</v>
      </c>
    </row>
    <row r="386" spans="7:8" x14ac:dyDescent="0.2">
      <c r="G386" s="1"/>
      <c r="H386">
        <f>Engagement_Summary[[#This Row],[New_Followers]]-Engagement_Summary[[#This Row],[Unfollows]]</f>
        <v>0</v>
      </c>
    </row>
    <row r="387" spans="7:8" x14ac:dyDescent="0.2">
      <c r="G387" s="1"/>
      <c r="H387">
        <f>Engagement_Summary[[#This Row],[New_Followers]]-Engagement_Summary[[#This Row],[Unfollows]]</f>
        <v>0</v>
      </c>
    </row>
    <row r="388" spans="7:8" x14ac:dyDescent="0.2">
      <c r="G388" s="1"/>
      <c r="H388">
        <f>Engagement_Summary[[#This Row],[New_Followers]]-Engagement_Summary[[#This Row],[Unfollows]]</f>
        <v>0</v>
      </c>
    </row>
    <row r="389" spans="7:8" x14ac:dyDescent="0.2">
      <c r="G389" s="1"/>
      <c r="H389">
        <f>Engagement_Summary[[#This Row],[New_Followers]]-Engagement_Summary[[#This Row],[Unfollows]]</f>
        <v>0</v>
      </c>
    </row>
    <row r="390" spans="7:8" x14ac:dyDescent="0.2">
      <c r="G390" s="1"/>
      <c r="H390">
        <f>Engagement_Summary[[#This Row],[New_Followers]]-Engagement_Summary[[#This Row],[Unfollows]]</f>
        <v>0</v>
      </c>
    </row>
    <row r="391" spans="7:8" x14ac:dyDescent="0.2">
      <c r="G391" s="1"/>
      <c r="H391">
        <f>Engagement_Summary[[#This Row],[New_Followers]]-Engagement_Summary[[#This Row],[Unfollows]]</f>
        <v>0</v>
      </c>
    </row>
    <row r="392" spans="7:8" x14ac:dyDescent="0.2">
      <c r="G392" s="1"/>
      <c r="H392">
        <f>Engagement_Summary[[#This Row],[New_Followers]]-Engagement_Summary[[#This Row],[Unfollows]]</f>
        <v>0</v>
      </c>
    </row>
    <row r="393" spans="7:8" x14ac:dyDescent="0.2">
      <c r="G393" s="1"/>
      <c r="H393">
        <f>Engagement_Summary[[#This Row],[New_Followers]]-Engagement_Summary[[#This Row],[Unfollows]]</f>
        <v>0</v>
      </c>
    </row>
    <row r="394" spans="7:8" x14ac:dyDescent="0.2">
      <c r="G394" s="1"/>
      <c r="H394">
        <f>Engagement_Summary[[#This Row],[New_Followers]]-Engagement_Summary[[#This Row],[Unfollows]]</f>
        <v>0</v>
      </c>
    </row>
    <row r="395" spans="7:8" x14ac:dyDescent="0.2">
      <c r="G395" s="1"/>
      <c r="H395">
        <f>Engagement_Summary[[#This Row],[New_Followers]]-Engagement_Summary[[#This Row],[Unfollows]]</f>
        <v>0</v>
      </c>
    </row>
    <row r="396" spans="7:8" x14ac:dyDescent="0.2">
      <c r="G396" s="1"/>
      <c r="H396">
        <f>Engagement_Summary[[#This Row],[New_Followers]]-Engagement_Summary[[#This Row],[Unfollows]]</f>
        <v>0</v>
      </c>
    </row>
    <row r="397" spans="7:8" x14ac:dyDescent="0.2">
      <c r="G397" s="1"/>
      <c r="H397">
        <f>Engagement_Summary[[#This Row],[New_Followers]]-Engagement_Summary[[#This Row],[Unfollows]]</f>
        <v>0</v>
      </c>
    </row>
    <row r="398" spans="7:8" x14ac:dyDescent="0.2">
      <c r="G398" s="1"/>
      <c r="H398">
        <f>Engagement_Summary[[#This Row],[New_Followers]]-Engagement_Summary[[#This Row],[Unfollows]]</f>
        <v>0</v>
      </c>
    </row>
    <row r="399" spans="7:8" x14ac:dyDescent="0.2">
      <c r="G399" s="1"/>
      <c r="H399">
        <f>Engagement_Summary[[#This Row],[New_Followers]]-Engagement_Summary[[#This Row],[Unfollows]]</f>
        <v>0</v>
      </c>
    </row>
    <row r="400" spans="7:8" x14ac:dyDescent="0.2">
      <c r="G400" s="1"/>
      <c r="H400">
        <f>Engagement_Summary[[#This Row],[New_Followers]]-Engagement_Summary[[#This Row],[Unfollows]]</f>
        <v>0</v>
      </c>
    </row>
    <row r="401" spans="7:8" x14ac:dyDescent="0.2">
      <c r="G401" s="1"/>
      <c r="H401">
        <f>Engagement_Summary[[#This Row],[New_Followers]]-Engagement_Summary[[#This Row],[Unfollows]]</f>
        <v>0</v>
      </c>
    </row>
    <row r="402" spans="7:8" x14ac:dyDescent="0.2">
      <c r="G402" s="1"/>
      <c r="H402">
        <f>Engagement_Summary[[#This Row],[New_Followers]]-Engagement_Summary[[#This Row],[Unfollows]]</f>
        <v>0</v>
      </c>
    </row>
    <row r="403" spans="7:8" x14ac:dyDescent="0.2">
      <c r="G403" s="1"/>
      <c r="H403">
        <f>Engagement_Summary[[#This Row],[New_Followers]]-Engagement_Summary[[#This Row],[Unfollows]]</f>
        <v>0</v>
      </c>
    </row>
    <row r="404" spans="7:8" x14ac:dyDescent="0.2">
      <c r="G404" s="1"/>
      <c r="H404">
        <f>Engagement_Summary[[#This Row],[New_Followers]]-Engagement_Summary[[#This Row],[Unfollows]]</f>
        <v>0</v>
      </c>
    </row>
    <row r="405" spans="7:8" x14ac:dyDescent="0.2">
      <c r="G405" s="1"/>
      <c r="H405">
        <f>Engagement_Summary[[#This Row],[New_Followers]]-Engagement_Summary[[#This Row],[Unfollows]]</f>
        <v>0</v>
      </c>
    </row>
    <row r="406" spans="7:8" x14ac:dyDescent="0.2">
      <c r="G406" s="1"/>
      <c r="H406">
        <f>Engagement_Summary[[#This Row],[New_Followers]]-Engagement_Summary[[#This Row],[Unfollows]]</f>
        <v>0</v>
      </c>
    </row>
    <row r="407" spans="7:8" x14ac:dyDescent="0.2">
      <c r="G407" s="1"/>
      <c r="H407">
        <f>Engagement_Summary[[#This Row],[New_Followers]]-Engagement_Summary[[#This Row],[Unfollows]]</f>
        <v>0</v>
      </c>
    </row>
    <row r="408" spans="7:8" x14ac:dyDescent="0.2">
      <c r="G408" s="1"/>
      <c r="H408">
        <f>Engagement_Summary[[#This Row],[New_Followers]]-Engagement_Summary[[#This Row],[Unfollows]]</f>
        <v>0</v>
      </c>
    </row>
    <row r="409" spans="7:8" x14ac:dyDescent="0.2">
      <c r="G409" s="1"/>
      <c r="H409">
        <f>Engagement_Summary[[#This Row],[New_Followers]]-Engagement_Summary[[#This Row],[Unfollows]]</f>
        <v>0</v>
      </c>
    </row>
    <row r="410" spans="7:8" x14ac:dyDescent="0.2">
      <c r="G410" s="1"/>
      <c r="H410">
        <f>Engagement_Summary[[#This Row],[New_Followers]]-Engagement_Summary[[#This Row],[Unfollows]]</f>
        <v>0</v>
      </c>
    </row>
    <row r="411" spans="7:8" x14ac:dyDescent="0.2">
      <c r="G411" s="1"/>
      <c r="H411">
        <f>Engagement_Summary[[#This Row],[New_Followers]]-Engagement_Summary[[#This Row],[Unfollows]]</f>
        <v>0</v>
      </c>
    </row>
    <row r="412" spans="7:8" x14ac:dyDescent="0.2">
      <c r="G412" s="1"/>
      <c r="H412">
        <f>Engagement_Summary[[#This Row],[New_Followers]]-Engagement_Summary[[#This Row],[Unfollows]]</f>
        <v>0</v>
      </c>
    </row>
    <row r="413" spans="7:8" x14ac:dyDescent="0.2">
      <c r="G413" s="1"/>
      <c r="H413">
        <f>Engagement_Summary[[#This Row],[New_Followers]]-Engagement_Summary[[#This Row],[Unfollows]]</f>
        <v>0</v>
      </c>
    </row>
    <row r="414" spans="7:8" x14ac:dyDescent="0.2">
      <c r="G414" s="1"/>
      <c r="H414">
        <f>Engagement_Summary[[#This Row],[New_Followers]]-Engagement_Summary[[#This Row],[Unfollows]]</f>
        <v>0</v>
      </c>
    </row>
    <row r="415" spans="7:8" x14ac:dyDescent="0.2">
      <c r="G415" s="1"/>
      <c r="H415">
        <f>Engagement_Summary[[#This Row],[New_Followers]]-Engagement_Summary[[#This Row],[Unfollows]]</f>
        <v>0</v>
      </c>
    </row>
    <row r="416" spans="7:8" x14ac:dyDescent="0.2">
      <c r="G416" s="1"/>
      <c r="H416">
        <f>Engagement_Summary[[#This Row],[New_Followers]]-Engagement_Summary[[#This Row],[Unfollows]]</f>
        <v>0</v>
      </c>
    </row>
    <row r="417" spans="7:8" x14ac:dyDescent="0.2">
      <c r="G417" s="1"/>
      <c r="H417">
        <f>Engagement_Summary[[#This Row],[New_Followers]]-Engagement_Summary[[#This Row],[Unfollows]]</f>
        <v>0</v>
      </c>
    </row>
    <row r="418" spans="7:8" x14ac:dyDescent="0.2">
      <c r="G418" s="1"/>
      <c r="H418">
        <f>Engagement_Summary[[#This Row],[New_Followers]]-Engagement_Summary[[#This Row],[Unfollows]]</f>
        <v>0</v>
      </c>
    </row>
    <row r="419" spans="7:8" x14ac:dyDescent="0.2">
      <c r="G419" s="1"/>
      <c r="H419">
        <f>Engagement_Summary[[#This Row],[New_Followers]]-Engagement_Summary[[#This Row],[Unfollows]]</f>
        <v>0</v>
      </c>
    </row>
    <row r="420" spans="7:8" x14ac:dyDescent="0.2">
      <c r="G420" s="1"/>
      <c r="H420">
        <f>Engagement_Summary[[#This Row],[New_Followers]]-Engagement_Summary[[#This Row],[Unfollows]]</f>
        <v>0</v>
      </c>
    </row>
    <row r="421" spans="7:8" x14ac:dyDescent="0.2">
      <c r="G421" s="1"/>
      <c r="H421">
        <f>Engagement_Summary[[#This Row],[New_Followers]]-Engagement_Summary[[#This Row],[Unfollows]]</f>
        <v>0</v>
      </c>
    </row>
    <row r="422" spans="7:8" x14ac:dyDescent="0.2">
      <c r="G422" s="1"/>
      <c r="H422">
        <f>Engagement_Summary[[#This Row],[New_Followers]]-Engagement_Summary[[#This Row],[Unfollows]]</f>
        <v>0</v>
      </c>
    </row>
    <row r="423" spans="7:8" x14ac:dyDescent="0.2">
      <c r="G423" s="1"/>
      <c r="H423">
        <f>Engagement_Summary[[#This Row],[New_Followers]]-Engagement_Summary[[#This Row],[Unfollows]]</f>
        <v>0</v>
      </c>
    </row>
    <row r="424" spans="7:8" x14ac:dyDescent="0.2">
      <c r="G424" s="1"/>
      <c r="H424">
        <f>Engagement_Summary[[#This Row],[New_Followers]]-Engagement_Summary[[#This Row],[Unfollows]]</f>
        <v>0</v>
      </c>
    </row>
    <row r="425" spans="7:8" x14ac:dyDescent="0.2">
      <c r="G425" s="1"/>
      <c r="H425">
        <f>Engagement_Summary[[#This Row],[New_Followers]]-Engagement_Summary[[#This Row],[Unfollows]]</f>
        <v>0</v>
      </c>
    </row>
    <row r="426" spans="7:8" x14ac:dyDescent="0.2">
      <c r="G426" s="1"/>
      <c r="H426">
        <f>Engagement_Summary[[#This Row],[New_Followers]]-Engagement_Summary[[#This Row],[Unfollows]]</f>
        <v>0</v>
      </c>
    </row>
    <row r="427" spans="7:8" x14ac:dyDescent="0.2">
      <c r="G427" s="1"/>
      <c r="H427">
        <f>Engagement_Summary[[#This Row],[New_Followers]]-Engagement_Summary[[#This Row],[Unfollows]]</f>
        <v>0</v>
      </c>
    </row>
    <row r="428" spans="7:8" x14ac:dyDescent="0.2">
      <c r="G428" s="1"/>
      <c r="H428">
        <f>Engagement_Summary[[#This Row],[New_Followers]]-Engagement_Summary[[#This Row],[Unfollows]]</f>
        <v>0</v>
      </c>
    </row>
    <row r="429" spans="7:8" x14ac:dyDescent="0.2">
      <c r="G429" s="1"/>
      <c r="H429">
        <f>Engagement_Summary[[#This Row],[New_Followers]]-Engagement_Summary[[#This Row],[Unfollows]]</f>
        <v>0</v>
      </c>
    </row>
    <row r="430" spans="7:8" x14ac:dyDescent="0.2">
      <c r="G430" s="1"/>
      <c r="H430">
        <f>Engagement_Summary[[#This Row],[New_Followers]]-Engagement_Summary[[#This Row],[Unfollows]]</f>
        <v>0</v>
      </c>
    </row>
    <row r="431" spans="7:8" x14ac:dyDescent="0.2">
      <c r="G431" s="1"/>
      <c r="H431">
        <f>Engagement_Summary[[#This Row],[New_Followers]]-Engagement_Summary[[#This Row],[Unfollows]]</f>
        <v>0</v>
      </c>
    </row>
    <row r="432" spans="7:8" x14ac:dyDescent="0.2">
      <c r="G432" s="1"/>
      <c r="H432">
        <f>Engagement_Summary[[#This Row],[New_Followers]]-Engagement_Summary[[#This Row],[Unfollows]]</f>
        <v>0</v>
      </c>
    </row>
    <row r="433" spans="7:8" x14ac:dyDescent="0.2">
      <c r="G433" s="1"/>
      <c r="H433">
        <f>Engagement_Summary[[#This Row],[New_Followers]]-Engagement_Summary[[#This Row],[Unfollows]]</f>
        <v>0</v>
      </c>
    </row>
    <row r="434" spans="7:8" x14ac:dyDescent="0.2">
      <c r="G434" s="1"/>
      <c r="H434">
        <f>Engagement_Summary[[#This Row],[New_Followers]]-Engagement_Summary[[#This Row],[Unfollows]]</f>
        <v>0</v>
      </c>
    </row>
    <row r="435" spans="7:8" x14ac:dyDescent="0.2">
      <c r="G435" s="1"/>
      <c r="H435">
        <f>Engagement_Summary[[#This Row],[New_Followers]]-Engagement_Summary[[#This Row],[Unfollows]]</f>
        <v>0</v>
      </c>
    </row>
    <row r="436" spans="7:8" x14ac:dyDescent="0.2">
      <c r="G436" s="1"/>
      <c r="H436">
        <f>Engagement_Summary[[#This Row],[New_Followers]]-Engagement_Summary[[#This Row],[Unfollows]]</f>
        <v>0</v>
      </c>
    </row>
    <row r="437" spans="7:8" x14ac:dyDescent="0.2">
      <c r="G437" s="1"/>
      <c r="H437">
        <f>Engagement_Summary[[#This Row],[New_Followers]]-Engagement_Summary[[#This Row],[Unfollows]]</f>
        <v>0</v>
      </c>
    </row>
    <row r="438" spans="7:8" x14ac:dyDescent="0.2">
      <c r="G438" s="1"/>
      <c r="H438">
        <f>Engagement_Summary[[#This Row],[New_Followers]]-Engagement_Summary[[#This Row],[Unfollows]]</f>
        <v>0</v>
      </c>
    </row>
    <row r="439" spans="7:8" x14ac:dyDescent="0.2">
      <c r="G439" s="1"/>
      <c r="H439">
        <f>Engagement_Summary[[#This Row],[New_Followers]]-Engagement_Summary[[#This Row],[Unfollows]]</f>
        <v>0</v>
      </c>
    </row>
    <row r="440" spans="7:8" x14ac:dyDescent="0.2">
      <c r="G440" s="1"/>
      <c r="H440">
        <f>Engagement_Summary[[#This Row],[New_Followers]]-Engagement_Summary[[#This Row],[Unfollows]]</f>
        <v>0</v>
      </c>
    </row>
    <row r="441" spans="7:8" x14ac:dyDescent="0.2">
      <c r="G441" s="1"/>
      <c r="H441">
        <f>Engagement_Summary[[#This Row],[New_Followers]]-Engagement_Summary[[#This Row],[Unfollows]]</f>
        <v>0</v>
      </c>
    </row>
    <row r="442" spans="7:8" x14ac:dyDescent="0.2">
      <c r="G442" s="1"/>
      <c r="H442">
        <f>Engagement_Summary[[#This Row],[New_Followers]]-Engagement_Summary[[#This Row],[Unfollows]]</f>
        <v>0</v>
      </c>
    </row>
    <row r="443" spans="7:8" x14ac:dyDescent="0.2">
      <c r="G443" s="1"/>
      <c r="H443">
        <f>Engagement_Summary[[#This Row],[New_Followers]]-Engagement_Summary[[#This Row],[Unfollows]]</f>
        <v>0</v>
      </c>
    </row>
    <row r="444" spans="7:8" x14ac:dyDescent="0.2">
      <c r="G444" s="1"/>
      <c r="H444">
        <f>Engagement_Summary[[#This Row],[New_Followers]]-Engagement_Summary[[#This Row],[Unfollows]]</f>
        <v>0</v>
      </c>
    </row>
    <row r="445" spans="7:8" x14ac:dyDescent="0.2">
      <c r="G445" s="1"/>
      <c r="H445">
        <f>Engagement_Summary[[#This Row],[New_Followers]]-Engagement_Summary[[#This Row],[Unfollows]]</f>
        <v>0</v>
      </c>
    </row>
    <row r="446" spans="7:8" x14ac:dyDescent="0.2">
      <c r="G446" s="1"/>
      <c r="H446">
        <f>Engagement_Summary[[#This Row],[New_Followers]]-Engagement_Summary[[#This Row],[Unfollows]]</f>
        <v>0</v>
      </c>
    </row>
    <row r="447" spans="7:8" x14ac:dyDescent="0.2">
      <c r="G447" s="1"/>
      <c r="H447">
        <f>Engagement_Summary[[#This Row],[New_Followers]]-Engagement_Summary[[#This Row],[Unfollows]]</f>
        <v>0</v>
      </c>
    </row>
    <row r="448" spans="7:8" x14ac:dyDescent="0.2">
      <c r="G448" s="1"/>
      <c r="H448">
        <f>Engagement_Summary[[#This Row],[New_Followers]]-Engagement_Summary[[#This Row],[Unfollows]]</f>
        <v>0</v>
      </c>
    </row>
    <row r="449" spans="7:8" x14ac:dyDescent="0.2">
      <c r="G449" s="1"/>
      <c r="H449">
        <f>Engagement_Summary[[#This Row],[New_Followers]]-Engagement_Summary[[#This Row],[Unfollows]]</f>
        <v>0</v>
      </c>
    </row>
    <row r="450" spans="7:8" x14ac:dyDescent="0.2">
      <c r="G450" s="1"/>
      <c r="H450">
        <f>Engagement_Summary[[#This Row],[New_Followers]]-Engagement_Summary[[#This Row],[Unfollows]]</f>
        <v>0</v>
      </c>
    </row>
    <row r="451" spans="7:8" x14ac:dyDescent="0.2">
      <c r="G451" s="1"/>
      <c r="H451">
        <f>Engagement_Summary[[#This Row],[New_Followers]]-Engagement_Summary[[#This Row],[Unfollows]]</f>
        <v>0</v>
      </c>
    </row>
    <row r="452" spans="7:8" x14ac:dyDescent="0.2">
      <c r="G452" s="1"/>
      <c r="H452">
        <f>Engagement_Summary[[#This Row],[New_Followers]]-Engagement_Summary[[#This Row],[Unfollows]]</f>
        <v>0</v>
      </c>
    </row>
    <row r="453" spans="7:8" x14ac:dyDescent="0.2">
      <c r="G453" s="1"/>
      <c r="H453">
        <f>Engagement_Summary[[#This Row],[New_Followers]]-Engagement_Summary[[#This Row],[Unfollows]]</f>
        <v>0</v>
      </c>
    </row>
    <row r="454" spans="7:8" x14ac:dyDescent="0.2">
      <c r="G454" s="1"/>
      <c r="H454">
        <f>Engagement_Summary[[#This Row],[New_Followers]]-Engagement_Summary[[#This Row],[Unfollows]]</f>
        <v>0</v>
      </c>
    </row>
    <row r="455" spans="7:8" x14ac:dyDescent="0.2">
      <c r="G455" s="1"/>
      <c r="H455">
        <f>Engagement_Summary[[#This Row],[New_Followers]]-Engagement_Summary[[#This Row],[Unfollows]]</f>
        <v>0</v>
      </c>
    </row>
    <row r="456" spans="7:8" x14ac:dyDescent="0.2">
      <c r="G456" s="1"/>
      <c r="H456">
        <f>Engagement_Summary[[#This Row],[New_Followers]]-Engagement_Summary[[#This Row],[Unfollows]]</f>
        <v>0</v>
      </c>
    </row>
    <row r="457" spans="7:8" x14ac:dyDescent="0.2">
      <c r="G457" s="1"/>
      <c r="H457">
        <f>Engagement_Summary[[#This Row],[New_Followers]]-Engagement_Summary[[#This Row],[Unfollows]]</f>
        <v>0</v>
      </c>
    </row>
    <row r="458" spans="7:8" x14ac:dyDescent="0.2">
      <c r="G458" s="1"/>
      <c r="H458">
        <f>Engagement_Summary[[#This Row],[New_Followers]]-Engagement_Summary[[#This Row],[Unfollows]]</f>
        <v>0</v>
      </c>
    </row>
    <row r="459" spans="7:8" x14ac:dyDescent="0.2">
      <c r="G459" s="1"/>
      <c r="H459">
        <f>Engagement_Summary[[#This Row],[New_Followers]]-Engagement_Summary[[#This Row],[Unfollows]]</f>
        <v>0</v>
      </c>
    </row>
    <row r="460" spans="7:8" x14ac:dyDescent="0.2">
      <c r="G460" s="1"/>
      <c r="H460">
        <f>Engagement_Summary[[#This Row],[New_Followers]]-Engagement_Summary[[#This Row],[Unfollows]]</f>
        <v>0</v>
      </c>
    </row>
    <row r="461" spans="7:8" x14ac:dyDescent="0.2">
      <c r="G461" s="1"/>
      <c r="H461">
        <f>Engagement_Summary[[#This Row],[New_Followers]]-Engagement_Summary[[#This Row],[Unfollows]]</f>
        <v>0</v>
      </c>
    </row>
    <row r="462" spans="7:8" x14ac:dyDescent="0.2">
      <c r="G462" s="1"/>
      <c r="H462">
        <f>Engagement_Summary[[#This Row],[New_Followers]]-Engagement_Summary[[#This Row],[Unfollows]]</f>
        <v>0</v>
      </c>
    </row>
    <row r="463" spans="7:8" x14ac:dyDescent="0.2">
      <c r="G463" s="1"/>
      <c r="H463">
        <f>Engagement_Summary[[#This Row],[New_Followers]]-Engagement_Summary[[#This Row],[Unfollows]]</f>
        <v>0</v>
      </c>
    </row>
    <row r="464" spans="7:8" x14ac:dyDescent="0.2">
      <c r="G464" s="1"/>
      <c r="H464">
        <f>Engagement_Summary[[#This Row],[New_Followers]]-Engagement_Summary[[#This Row],[Unfollows]]</f>
        <v>0</v>
      </c>
    </row>
    <row r="465" spans="7:8" x14ac:dyDescent="0.2">
      <c r="G465" s="1"/>
      <c r="H465">
        <f>Engagement_Summary[[#This Row],[New_Followers]]-Engagement_Summary[[#This Row],[Unfollows]]</f>
        <v>0</v>
      </c>
    </row>
    <row r="466" spans="7:8" x14ac:dyDescent="0.2">
      <c r="G466" s="1"/>
      <c r="H466">
        <f>Engagement_Summary[[#This Row],[New_Followers]]-Engagement_Summary[[#This Row],[Unfollows]]</f>
        <v>0</v>
      </c>
    </row>
    <row r="467" spans="7:8" x14ac:dyDescent="0.2">
      <c r="G467" s="1"/>
      <c r="H467">
        <f>Engagement_Summary[[#This Row],[New_Followers]]-Engagement_Summary[[#This Row],[Unfollows]]</f>
        <v>0</v>
      </c>
    </row>
    <row r="468" spans="7:8" x14ac:dyDescent="0.2">
      <c r="G468" s="1"/>
      <c r="H468">
        <f>Engagement_Summary[[#This Row],[New_Followers]]-Engagement_Summary[[#This Row],[Unfollows]]</f>
        <v>0</v>
      </c>
    </row>
    <row r="469" spans="7:8" x14ac:dyDescent="0.2">
      <c r="G469" s="1"/>
      <c r="H469">
        <f>Engagement_Summary[[#This Row],[New_Followers]]-Engagement_Summary[[#This Row],[Unfollows]]</f>
        <v>0</v>
      </c>
    </row>
    <row r="470" spans="7:8" x14ac:dyDescent="0.2">
      <c r="G470" s="1"/>
      <c r="H470">
        <f>Engagement_Summary[[#This Row],[New_Followers]]-Engagement_Summary[[#This Row],[Unfollows]]</f>
        <v>0</v>
      </c>
    </row>
    <row r="471" spans="7:8" x14ac:dyDescent="0.2">
      <c r="G471" s="1"/>
      <c r="H471">
        <f>Engagement_Summary[[#This Row],[New_Followers]]-Engagement_Summary[[#This Row],[Unfollows]]</f>
        <v>0</v>
      </c>
    </row>
    <row r="472" spans="7:8" x14ac:dyDescent="0.2">
      <c r="G472" s="1"/>
      <c r="H472">
        <f>Engagement_Summary[[#This Row],[New_Followers]]-Engagement_Summary[[#This Row],[Unfollows]]</f>
        <v>0</v>
      </c>
    </row>
    <row r="473" spans="7:8" x14ac:dyDescent="0.2">
      <c r="G473" s="1"/>
      <c r="H473">
        <f>Engagement_Summary[[#This Row],[New_Followers]]-Engagement_Summary[[#This Row],[Unfollows]]</f>
        <v>0</v>
      </c>
    </row>
    <row r="474" spans="7:8" x14ac:dyDescent="0.2">
      <c r="G474" s="1"/>
      <c r="H474">
        <f>Engagement_Summary[[#This Row],[New_Followers]]-Engagement_Summary[[#This Row],[Unfollows]]</f>
        <v>0</v>
      </c>
    </row>
    <row r="475" spans="7:8" x14ac:dyDescent="0.2">
      <c r="G475" s="1"/>
      <c r="H475">
        <f>Engagement_Summary[[#This Row],[New_Followers]]-Engagement_Summary[[#This Row],[Unfollows]]</f>
        <v>0</v>
      </c>
    </row>
    <row r="476" spans="7:8" x14ac:dyDescent="0.2">
      <c r="G476" s="1"/>
      <c r="H476">
        <f>Engagement_Summary[[#This Row],[New_Followers]]-Engagement_Summary[[#This Row],[Unfollows]]</f>
        <v>0</v>
      </c>
    </row>
    <row r="477" spans="7:8" x14ac:dyDescent="0.2">
      <c r="G477" s="1"/>
      <c r="H477">
        <f>Engagement_Summary[[#This Row],[New_Followers]]-Engagement_Summary[[#This Row],[Unfollows]]</f>
        <v>0</v>
      </c>
    </row>
    <row r="478" spans="7:8" x14ac:dyDescent="0.2">
      <c r="G478" s="1"/>
      <c r="H478">
        <f>Engagement_Summary[[#This Row],[New_Followers]]-Engagement_Summary[[#This Row],[Unfollows]]</f>
        <v>0</v>
      </c>
    </row>
    <row r="479" spans="7:8" x14ac:dyDescent="0.2">
      <c r="G479" s="1"/>
      <c r="H479">
        <f>Engagement_Summary[[#This Row],[New_Followers]]-Engagement_Summary[[#This Row],[Unfollows]]</f>
        <v>0</v>
      </c>
    </row>
    <row r="480" spans="7:8" x14ac:dyDescent="0.2">
      <c r="G480" s="1"/>
      <c r="H480">
        <f>Engagement_Summary[[#This Row],[New_Followers]]-Engagement_Summary[[#This Row],[Unfollows]]</f>
        <v>0</v>
      </c>
    </row>
    <row r="481" spans="7:8" x14ac:dyDescent="0.2">
      <c r="G481" s="1"/>
      <c r="H481">
        <f>Engagement_Summary[[#This Row],[New_Followers]]-Engagement_Summary[[#This Row],[Unfollows]]</f>
        <v>0</v>
      </c>
    </row>
    <row r="482" spans="7:8" x14ac:dyDescent="0.2">
      <c r="G482" s="1"/>
      <c r="H482">
        <f>Engagement_Summary[[#This Row],[New_Followers]]-Engagement_Summary[[#This Row],[Unfollows]]</f>
        <v>0</v>
      </c>
    </row>
    <row r="483" spans="7:8" x14ac:dyDescent="0.2">
      <c r="G483" s="1"/>
      <c r="H483">
        <f>Engagement_Summary[[#This Row],[New_Followers]]-Engagement_Summary[[#This Row],[Unfollows]]</f>
        <v>0</v>
      </c>
    </row>
    <row r="484" spans="7:8" x14ac:dyDescent="0.2">
      <c r="G484" s="1"/>
      <c r="H484">
        <f>Engagement_Summary[[#This Row],[New_Followers]]-Engagement_Summary[[#This Row],[Unfollows]]</f>
        <v>0</v>
      </c>
    </row>
    <row r="485" spans="7:8" x14ac:dyDescent="0.2">
      <c r="G485" s="1"/>
      <c r="H485">
        <f>Engagement_Summary[[#This Row],[New_Followers]]-Engagement_Summary[[#This Row],[Unfollows]]</f>
        <v>0</v>
      </c>
    </row>
    <row r="486" spans="7:8" x14ac:dyDescent="0.2">
      <c r="G486" s="1"/>
      <c r="H486">
        <f>Engagement_Summary[[#This Row],[New_Followers]]-Engagement_Summary[[#This Row],[Unfollows]]</f>
        <v>0</v>
      </c>
    </row>
    <row r="487" spans="7:8" x14ac:dyDescent="0.2">
      <c r="G487" s="1"/>
      <c r="H487">
        <f>Engagement_Summary[[#This Row],[New_Followers]]-Engagement_Summary[[#This Row],[Unfollows]]</f>
        <v>0</v>
      </c>
    </row>
    <row r="488" spans="7:8" x14ac:dyDescent="0.2">
      <c r="G488" s="1"/>
      <c r="H488">
        <f>Engagement_Summary[[#This Row],[New_Followers]]-Engagement_Summary[[#This Row],[Unfollows]]</f>
        <v>0</v>
      </c>
    </row>
    <row r="489" spans="7:8" x14ac:dyDescent="0.2">
      <c r="G489" s="1"/>
      <c r="H489">
        <f>Engagement_Summary[[#This Row],[New_Followers]]-Engagement_Summary[[#This Row],[Unfollows]]</f>
        <v>0</v>
      </c>
    </row>
    <row r="490" spans="7:8" x14ac:dyDescent="0.2">
      <c r="G490" s="1"/>
      <c r="H490">
        <f>Engagement_Summary[[#This Row],[New_Followers]]-Engagement_Summary[[#This Row],[Unfollows]]</f>
        <v>0</v>
      </c>
    </row>
    <row r="491" spans="7:8" x14ac:dyDescent="0.2">
      <c r="G491" s="1"/>
      <c r="H491">
        <f>Engagement_Summary[[#This Row],[New_Followers]]-Engagement_Summary[[#This Row],[Unfollows]]</f>
        <v>0</v>
      </c>
    </row>
    <row r="492" spans="7:8" x14ac:dyDescent="0.2">
      <c r="G492" s="1"/>
      <c r="H492">
        <f>Engagement_Summary[[#This Row],[New_Followers]]-Engagement_Summary[[#This Row],[Unfollows]]</f>
        <v>0</v>
      </c>
    </row>
    <row r="493" spans="7:8" x14ac:dyDescent="0.2">
      <c r="G493" s="1"/>
      <c r="H493">
        <f>Engagement_Summary[[#This Row],[New_Followers]]-Engagement_Summary[[#This Row],[Unfollows]]</f>
        <v>0</v>
      </c>
    </row>
    <row r="494" spans="7:8" x14ac:dyDescent="0.2">
      <c r="G494" s="1"/>
      <c r="H494">
        <f>Engagement_Summary[[#This Row],[New_Followers]]-Engagement_Summary[[#This Row],[Unfollows]]</f>
        <v>0</v>
      </c>
    </row>
    <row r="495" spans="7:8" x14ac:dyDescent="0.2">
      <c r="G495" s="1"/>
      <c r="H495">
        <f>Engagement_Summary[[#This Row],[New_Followers]]-Engagement_Summary[[#This Row],[Unfollows]]</f>
        <v>0</v>
      </c>
    </row>
    <row r="496" spans="7:8" x14ac:dyDescent="0.2">
      <c r="G496" s="1"/>
      <c r="H496">
        <f>Engagement_Summary[[#This Row],[New_Followers]]-Engagement_Summary[[#This Row],[Unfollows]]</f>
        <v>0</v>
      </c>
    </row>
    <row r="497" spans="7:8" x14ac:dyDescent="0.2">
      <c r="G497" s="1"/>
      <c r="H497">
        <f>Engagement_Summary[[#This Row],[New_Followers]]-Engagement_Summary[[#This Row],[Unfollows]]</f>
        <v>0</v>
      </c>
    </row>
    <row r="498" spans="7:8" x14ac:dyDescent="0.2">
      <c r="G498" s="1"/>
      <c r="H498">
        <f>Engagement_Summary[[#This Row],[New_Followers]]-Engagement_Summary[[#This Row],[Unfollows]]</f>
        <v>0</v>
      </c>
    </row>
    <row r="499" spans="7:8" x14ac:dyDescent="0.2">
      <c r="G499" s="1"/>
      <c r="H499">
        <f>Engagement_Summary[[#This Row],[New_Followers]]-Engagement_Summary[[#This Row],[Unfollows]]</f>
        <v>0</v>
      </c>
    </row>
    <row r="500" spans="7:8" x14ac:dyDescent="0.2">
      <c r="G500" s="1"/>
      <c r="H500">
        <f>Engagement_Summary[[#This Row],[New_Followers]]-Engagement_Summary[[#This Row],[Unfollows]]</f>
        <v>0</v>
      </c>
    </row>
    <row r="501" spans="7:8" x14ac:dyDescent="0.2">
      <c r="G501" s="1"/>
      <c r="H501">
        <f>Engagement_Summary[[#This Row],[New_Followers]]-Engagement_Summary[[#This Row],[Unfollows]]</f>
        <v>0</v>
      </c>
    </row>
    <row r="502" spans="7:8" x14ac:dyDescent="0.2">
      <c r="G502" s="1"/>
      <c r="H502">
        <f>Engagement_Summary[[#This Row],[New_Followers]]-Engagement_Summary[[#This Row],[Unfollows]]</f>
        <v>0</v>
      </c>
    </row>
    <row r="503" spans="7:8" x14ac:dyDescent="0.2">
      <c r="G503" s="1"/>
      <c r="H503">
        <f>Engagement_Summary[[#This Row],[New_Followers]]-Engagement_Summary[[#This Row],[Unfollows]]</f>
        <v>0</v>
      </c>
    </row>
    <row r="504" spans="7:8" x14ac:dyDescent="0.2">
      <c r="G504" s="1"/>
      <c r="H504">
        <f>Engagement_Summary[[#This Row],[New_Followers]]-Engagement_Summary[[#This Row],[Unfollows]]</f>
        <v>0</v>
      </c>
    </row>
    <row r="505" spans="7:8" x14ac:dyDescent="0.2">
      <c r="G505" s="1"/>
      <c r="H505">
        <f>Engagement_Summary[[#This Row],[New_Followers]]-Engagement_Summary[[#This Row],[Unfollows]]</f>
        <v>0</v>
      </c>
    </row>
    <row r="506" spans="7:8" x14ac:dyDescent="0.2">
      <c r="G506" s="1"/>
      <c r="H506">
        <f>Engagement_Summary[[#This Row],[New_Followers]]-Engagement_Summary[[#This Row],[Unfollows]]</f>
        <v>0</v>
      </c>
    </row>
    <row r="507" spans="7:8" x14ac:dyDescent="0.2">
      <c r="G507" s="1"/>
      <c r="H507">
        <f>Engagement_Summary[[#This Row],[New_Followers]]-Engagement_Summary[[#This Row],[Unfollows]]</f>
        <v>0</v>
      </c>
    </row>
    <row r="508" spans="7:8" x14ac:dyDescent="0.2">
      <c r="G508" s="1"/>
      <c r="H508">
        <f>Engagement_Summary[[#This Row],[New_Followers]]-Engagement_Summary[[#This Row],[Unfollows]]</f>
        <v>0</v>
      </c>
    </row>
    <row r="509" spans="7:8" x14ac:dyDescent="0.2">
      <c r="G509" s="1"/>
      <c r="H509">
        <f>Engagement_Summary[[#This Row],[New_Followers]]-Engagement_Summary[[#This Row],[Unfollows]]</f>
        <v>0</v>
      </c>
    </row>
    <row r="510" spans="7:8" x14ac:dyDescent="0.2">
      <c r="G510" s="1"/>
      <c r="H510">
        <f>Engagement_Summary[[#This Row],[New_Followers]]-Engagement_Summary[[#This Row],[Unfollows]]</f>
        <v>0</v>
      </c>
    </row>
    <row r="511" spans="7:8" x14ac:dyDescent="0.2">
      <c r="G511" s="1"/>
      <c r="H511">
        <f>Engagement_Summary[[#This Row],[New_Followers]]-Engagement_Summary[[#This Row],[Unfollows]]</f>
        <v>0</v>
      </c>
    </row>
    <row r="512" spans="7:8" x14ac:dyDescent="0.2">
      <c r="G512" s="1"/>
      <c r="H512">
        <f>Engagement_Summary[[#This Row],[New_Followers]]-Engagement_Summary[[#This Row],[Unfollows]]</f>
        <v>0</v>
      </c>
    </row>
    <row r="513" spans="7:8" x14ac:dyDescent="0.2">
      <c r="G513" s="1"/>
      <c r="H513">
        <f>Engagement_Summary[[#This Row],[New_Followers]]-Engagement_Summary[[#This Row],[Unfollows]]</f>
        <v>0</v>
      </c>
    </row>
    <row r="514" spans="7:8" x14ac:dyDescent="0.2">
      <c r="G514" s="1"/>
      <c r="H514">
        <f>Engagement_Summary[[#This Row],[New_Followers]]-Engagement_Summary[[#This Row],[Unfollows]]</f>
        <v>0</v>
      </c>
    </row>
    <row r="515" spans="7:8" x14ac:dyDescent="0.2">
      <c r="G515" s="1"/>
      <c r="H515">
        <f>Engagement_Summary[[#This Row],[New_Followers]]-Engagement_Summary[[#This Row],[Unfollows]]</f>
        <v>0</v>
      </c>
    </row>
    <row r="516" spans="7:8" x14ac:dyDescent="0.2">
      <c r="G516" s="1"/>
      <c r="H516">
        <f>Engagement_Summary[[#This Row],[New_Followers]]-Engagement_Summary[[#This Row],[Unfollows]]</f>
        <v>0</v>
      </c>
    </row>
    <row r="517" spans="7:8" x14ac:dyDescent="0.2">
      <c r="G517" s="1"/>
      <c r="H517">
        <f>Engagement_Summary[[#This Row],[New_Followers]]-Engagement_Summary[[#This Row],[Unfollows]]</f>
        <v>0</v>
      </c>
    </row>
    <row r="518" spans="7:8" x14ac:dyDescent="0.2">
      <c r="G518" s="1"/>
      <c r="H518">
        <f>Engagement_Summary[[#This Row],[New_Followers]]-Engagement_Summary[[#This Row],[Unfollows]]</f>
        <v>0</v>
      </c>
    </row>
    <row r="519" spans="7:8" x14ac:dyDescent="0.2">
      <c r="G519" s="1"/>
      <c r="H519">
        <f>Engagement_Summary[[#This Row],[New_Followers]]-Engagement_Summary[[#This Row],[Unfollows]]</f>
        <v>0</v>
      </c>
    </row>
    <row r="520" spans="7:8" x14ac:dyDescent="0.2">
      <c r="G520" s="1"/>
      <c r="H520">
        <f>Engagement_Summary[[#This Row],[New_Followers]]-Engagement_Summary[[#This Row],[Unfollows]]</f>
        <v>0</v>
      </c>
    </row>
    <row r="521" spans="7:8" x14ac:dyDescent="0.2">
      <c r="G521" s="1"/>
      <c r="H521">
        <f>Engagement_Summary[[#This Row],[New_Followers]]-Engagement_Summary[[#This Row],[Unfollows]]</f>
        <v>0</v>
      </c>
    </row>
    <row r="522" spans="7:8" x14ac:dyDescent="0.2">
      <c r="G522" s="1"/>
      <c r="H522">
        <f>Engagement_Summary[[#This Row],[New_Followers]]-Engagement_Summary[[#This Row],[Unfollows]]</f>
        <v>0</v>
      </c>
    </row>
    <row r="523" spans="7:8" x14ac:dyDescent="0.2">
      <c r="G523" s="1"/>
      <c r="H523">
        <f>Engagement_Summary[[#This Row],[New_Followers]]-Engagement_Summary[[#This Row],[Unfollows]]</f>
        <v>0</v>
      </c>
    </row>
    <row r="524" spans="7:8" x14ac:dyDescent="0.2">
      <c r="G524" s="1"/>
      <c r="H524">
        <f>Engagement_Summary[[#This Row],[New_Followers]]-Engagement_Summary[[#This Row],[Unfollows]]</f>
        <v>0</v>
      </c>
    </row>
    <row r="525" spans="7:8" x14ac:dyDescent="0.2">
      <c r="G525" s="1"/>
      <c r="H525">
        <f>Engagement_Summary[[#This Row],[New_Followers]]-Engagement_Summary[[#This Row],[Unfollows]]</f>
        <v>0</v>
      </c>
    </row>
    <row r="526" spans="7:8" x14ac:dyDescent="0.2">
      <c r="G526" s="1"/>
      <c r="H526">
        <f>Engagement_Summary[[#This Row],[New_Followers]]-Engagement_Summary[[#This Row],[Unfollows]]</f>
        <v>0</v>
      </c>
    </row>
    <row r="527" spans="7:8" x14ac:dyDescent="0.2">
      <c r="G527" s="1"/>
      <c r="H527">
        <f>Engagement_Summary[[#This Row],[New_Followers]]-Engagement_Summary[[#This Row],[Unfollows]]</f>
        <v>0</v>
      </c>
    </row>
    <row r="528" spans="7:8" x14ac:dyDescent="0.2">
      <c r="G528" s="1"/>
      <c r="H528">
        <f>Engagement_Summary[[#This Row],[New_Followers]]-Engagement_Summary[[#This Row],[Unfollows]]</f>
        <v>0</v>
      </c>
    </row>
    <row r="529" spans="7:8" x14ac:dyDescent="0.2">
      <c r="G529" s="1"/>
      <c r="H529">
        <f>Engagement_Summary[[#This Row],[New_Followers]]-Engagement_Summary[[#This Row],[Unfollows]]</f>
        <v>0</v>
      </c>
    </row>
    <row r="530" spans="7:8" x14ac:dyDescent="0.2">
      <c r="G530" s="1"/>
      <c r="H530">
        <f>Engagement_Summary[[#This Row],[New_Followers]]-Engagement_Summary[[#This Row],[Unfollows]]</f>
        <v>0</v>
      </c>
    </row>
    <row r="531" spans="7:8" x14ac:dyDescent="0.2">
      <c r="G531" s="1"/>
      <c r="H531">
        <f>Engagement_Summary[[#This Row],[New_Followers]]-Engagement_Summary[[#This Row],[Unfollows]]</f>
        <v>0</v>
      </c>
    </row>
    <row r="532" spans="7:8" x14ac:dyDescent="0.2">
      <c r="G532" s="1"/>
      <c r="H532">
        <f>Engagement_Summary[[#This Row],[New_Followers]]-Engagement_Summary[[#This Row],[Unfollows]]</f>
        <v>0</v>
      </c>
    </row>
    <row r="533" spans="7:8" x14ac:dyDescent="0.2">
      <c r="G533" s="1"/>
      <c r="H533">
        <f>Engagement_Summary[[#This Row],[New_Followers]]-Engagement_Summary[[#This Row],[Unfollows]]</f>
        <v>0</v>
      </c>
    </row>
    <row r="534" spans="7:8" x14ac:dyDescent="0.2">
      <c r="G534" s="1"/>
      <c r="H534">
        <f>Engagement_Summary[[#This Row],[New_Followers]]-Engagement_Summary[[#This Row],[Unfollows]]</f>
        <v>0</v>
      </c>
    </row>
    <row r="535" spans="7:8" x14ac:dyDescent="0.2">
      <c r="G535" s="1"/>
      <c r="H535">
        <f>Engagement_Summary[[#This Row],[New_Followers]]-Engagement_Summary[[#This Row],[Unfollows]]</f>
        <v>0</v>
      </c>
    </row>
    <row r="536" spans="7:8" x14ac:dyDescent="0.2">
      <c r="G536" s="1"/>
      <c r="H536">
        <f>Engagement_Summary[[#This Row],[New_Followers]]-Engagement_Summary[[#This Row],[Unfollows]]</f>
        <v>0</v>
      </c>
    </row>
    <row r="537" spans="7:8" x14ac:dyDescent="0.2">
      <c r="G537" s="1"/>
      <c r="H537">
        <f>Engagement_Summary[[#This Row],[New_Followers]]-Engagement_Summary[[#This Row],[Unfollows]]</f>
        <v>0</v>
      </c>
    </row>
    <row r="538" spans="7:8" x14ac:dyDescent="0.2">
      <c r="G538" s="1"/>
      <c r="H538">
        <f>Engagement_Summary[[#This Row],[New_Followers]]-Engagement_Summary[[#This Row],[Unfollows]]</f>
        <v>0</v>
      </c>
    </row>
    <row r="539" spans="7:8" x14ac:dyDescent="0.2">
      <c r="G539" s="1"/>
      <c r="H539">
        <f>Engagement_Summary[[#This Row],[New_Followers]]-Engagement_Summary[[#This Row],[Unfollows]]</f>
        <v>0</v>
      </c>
    </row>
    <row r="540" spans="7:8" x14ac:dyDescent="0.2">
      <c r="G540" s="1"/>
      <c r="H540">
        <f>Engagement_Summary[[#This Row],[New_Followers]]-Engagement_Summary[[#This Row],[Unfollows]]</f>
        <v>0</v>
      </c>
    </row>
    <row r="541" spans="7:8" x14ac:dyDescent="0.2">
      <c r="G541" s="1"/>
      <c r="H541">
        <f>Engagement_Summary[[#This Row],[New_Followers]]-Engagement_Summary[[#This Row],[Unfollows]]</f>
        <v>0</v>
      </c>
    </row>
    <row r="542" spans="7:8" x14ac:dyDescent="0.2">
      <c r="G542" s="1"/>
      <c r="H542">
        <f>Engagement_Summary[[#This Row],[New_Followers]]-Engagement_Summary[[#This Row],[Unfollows]]</f>
        <v>0</v>
      </c>
    </row>
    <row r="543" spans="7:8" x14ac:dyDescent="0.2">
      <c r="G543" s="1"/>
      <c r="H543">
        <f>Engagement_Summary[[#This Row],[New_Followers]]-Engagement_Summary[[#This Row],[Unfollows]]</f>
        <v>0</v>
      </c>
    </row>
    <row r="544" spans="7:8" x14ac:dyDescent="0.2">
      <c r="G544" s="1"/>
      <c r="H544">
        <f>Engagement_Summary[[#This Row],[New_Followers]]-Engagement_Summary[[#This Row],[Unfollows]]</f>
        <v>0</v>
      </c>
    </row>
    <row r="545" spans="7:8" x14ac:dyDescent="0.2">
      <c r="G545" s="1"/>
      <c r="H545">
        <f>Engagement_Summary[[#This Row],[New_Followers]]-Engagement_Summary[[#This Row],[Unfollows]]</f>
        <v>0</v>
      </c>
    </row>
    <row r="546" spans="7:8" x14ac:dyDescent="0.2">
      <c r="G546" s="1"/>
      <c r="H546">
        <f>Engagement_Summary[[#This Row],[New_Followers]]-Engagement_Summary[[#This Row],[Unfollows]]</f>
        <v>0</v>
      </c>
    </row>
    <row r="547" spans="7:8" x14ac:dyDescent="0.2">
      <c r="G547" s="1"/>
      <c r="H547">
        <f>Engagement_Summary[[#This Row],[New_Followers]]-Engagement_Summary[[#This Row],[Unfollows]]</f>
        <v>0</v>
      </c>
    </row>
    <row r="548" spans="7:8" x14ac:dyDescent="0.2">
      <c r="G548" s="1"/>
      <c r="H548">
        <f>Engagement_Summary[[#This Row],[New_Followers]]-Engagement_Summary[[#This Row],[Unfollows]]</f>
        <v>0</v>
      </c>
    </row>
    <row r="549" spans="7:8" x14ac:dyDescent="0.2">
      <c r="G549" s="1"/>
      <c r="H549">
        <f>Engagement_Summary[[#This Row],[New_Followers]]-Engagement_Summary[[#This Row],[Unfollows]]</f>
        <v>0</v>
      </c>
    </row>
    <row r="550" spans="7:8" x14ac:dyDescent="0.2">
      <c r="G550" s="1"/>
      <c r="H550">
        <f>Engagement_Summary[[#This Row],[New_Followers]]-Engagement_Summary[[#This Row],[Unfollows]]</f>
        <v>0</v>
      </c>
    </row>
    <row r="551" spans="7:8" x14ac:dyDescent="0.2">
      <c r="G551" s="1"/>
      <c r="H551">
        <f>Engagement_Summary[[#This Row],[New_Followers]]-Engagement_Summary[[#This Row],[Unfollows]]</f>
        <v>0</v>
      </c>
    </row>
    <row r="552" spans="7:8" x14ac:dyDescent="0.2">
      <c r="G552" s="1"/>
      <c r="H552">
        <f>Engagement_Summary[[#This Row],[New_Followers]]-Engagement_Summary[[#This Row],[Unfollows]]</f>
        <v>0</v>
      </c>
    </row>
    <row r="553" spans="7:8" x14ac:dyDescent="0.2">
      <c r="G553" s="1"/>
      <c r="H553">
        <f>Engagement_Summary[[#This Row],[New_Followers]]-Engagement_Summary[[#This Row],[Unfollows]]</f>
        <v>0</v>
      </c>
    </row>
    <row r="554" spans="7:8" x14ac:dyDescent="0.2">
      <c r="G554" s="1"/>
      <c r="H554">
        <f>Engagement_Summary[[#This Row],[New_Followers]]-Engagement_Summary[[#This Row],[Unfollows]]</f>
        <v>0</v>
      </c>
    </row>
    <row r="555" spans="7:8" x14ac:dyDescent="0.2">
      <c r="G555" s="1"/>
      <c r="H555">
        <f>Engagement_Summary[[#This Row],[New_Followers]]-Engagement_Summary[[#This Row],[Unfollows]]</f>
        <v>0</v>
      </c>
    </row>
    <row r="556" spans="7:8" x14ac:dyDescent="0.2">
      <c r="G556" s="1"/>
      <c r="H556">
        <f>Engagement_Summary[[#This Row],[New_Followers]]-Engagement_Summary[[#This Row],[Unfollows]]</f>
        <v>0</v>
      </c>
    </row>
    <row r="557" spans="7:8" x14ac:dyDescent="0.2">
      <c r="G557" s="1"/>
      <c r="H557">
        <f>Engagement_Summary[[#This Row],[New_Followers]]-Engagement_Summary[[#This Row],[Unfollows]]</f>
        <v>0</v>
      </c>
    </row>
    <row r="558" spans="7:8" x14ac:dyDescent="0.2">
      <c r="G558" s="1"/>
      <c r="H558">
        <f>Engagement_Summary[[#This Row],[New_Followers]]-Engagement_Summary[[#This Row],[Unfollows]]</f>
        <v>0</v>
      </c>
    </row>
    <row r="559" spans="7:8" x14ac:dyDescent="0.2">
      <c r="G559" s="1"/>
      <c r="H559">
        <f>Engagement_Summary[[#This Row],[New_Followers]]-Engagement_Summary[[#This Row],[Unfollows]]</f>
        <v>0</v>
      </c>
    </row>
    <row r="560" spans="7:8" x14ac:dyDescent="0.2">
      <c r="G560" s="1"/>
      <c r="H560">
        <f>Engagement_Summary[[#This Row],[New_Followers]]-Engagement_Summary[[#This Row],[Unfollows]]</f>
        <v>0</v>
      </c>
    </row>
    <row r="561" spans="7:8" x14ac:dyDescent="0.2">
      <c r="G561" s="1"/>
      <c r="H561">
        <f>Engagement_Summary[[#This Row],[New_Followers]]-Engagement_Summary[[#This Row],[Unfollows]]</f>
        <v>0</v>
      </c>
    </row>
    <row r="562" spans="7:8" x14ac:dyDescent="0.2">
      <c r="G562" s="1"/>
      <c r="H562">
        <f>Engagement_Summary[[#This Row],[New_Followers]]-Engagement_Summary[[#This Row],[Unfollows]]</f>
        <v>0</v>
      </c>
    </row>
    <row r="563" spans="7:8" x14ac:dyDescent="0.2">
      <c r="G563" s="1"/>
      <c r="H563">
        <f>Engagement_Summary[[#This Row],[New_Followers]]-Engagement_Summary[[#This Row],[Unfollows]]</f>
        <v>0</v>
      </c>
    </row>
    <row r="564" spans="7:8" x14ac:dyDescent="0.2">
      <c r="G564" s="1"/>
      <c r="H564">
        <f>Engagement_Summary[[#This Row],[New_Followers]]-Engagement_Summary[[#This Row],[Unfollows]]</f>
        <v>0</v>
      </c>
    </row>
    <row r="565" spans="7:8" x14ac:dyDescent="0.2">
      <c r="G565" s="1"/>
      <c r="H565">
        <f>Engagement_Summary[[#This Row],[New_Followers]]-Engagement_Summary[[#This Row],[Unfollows]]</f>
        <v>0</v>
      </c>
    </row>
    <row r="566" spans="7:8" x14ac:dyDescent="0.2">
      <c r="G566" s="1"/>
      <c r="H566">
        <f>Engagement_Summary[[#This Row],[New_Followers]]-Engagement_Summary[[#This Row],[Unfollows]]</f>
        <v>0</v>
      </c>
    </row>
    <row r="567" spans="7:8" x14ac:dyDescent="0.2">
      <c r="G567" s="1"/>
      <c r="H567">
        <f>Engagement_Summary[[#This Row],[New_Followers]]-Engagement_Summary[[#This Row],[Unfollows]]</f>
        <v>0</v>
      </c>
    </row>
    <row r="568" spans="7:8" x14ac:dyDescent="0.2">
      <c r="G568" s="1"/>
      <c r="H568">
        <f>Engagement_Summary[[#This Row],[New_Followers]]-Engagement_Summary[[#This Row],[Unfollows]]</f>
        <v>0</v>
      </c>
    </row>
    <row r="569" spans="7:8" x14ac:dyDescent="0.2">
      <c r="G569" s="1"/>
      <c r="H569">
        <f>Engagement_Summary[[#This Row],[New_Followers]]-Engagement_Summary[[#This Row],[Unfollows]]</f>
        <v>0</v>
      </c>
    </row>
    <row r="570" spans="7:8" x14ac:dyDescent="0.2">
      <c r="G570" s="1"/>
      <c r="H570">
        <f>Engagement_Summary[[#This Row],[New_Followers]]-Engagement_Summary[[#This Row],[Unfollows]]</f>
        <v>0</v>
      </c>
    </row>
    <row r="571" spans="7:8" x14ac:dyDescent="0.2">
      <c r="G571" s="1"/>
      <c r="H571">
        <f>Engagement_Summary[[#This Row],[New_Followers]]-Engagement_Summary[[#This Row],[Unfollows]]</f>
        <v>0</v>
      </c>
    </row>
    <row r="572" spans="7:8" x14ac:dyDescent="0.2">
      <c r="G572" s="1"/>
      <c r="H572">
        <f>Engagement_Summary[[#This Row],[New_Followers]]-Engagement_Summary[[#This Row],[Unfollows]]</f>
        <v>0</v>
      </c>
    </row>
    <row r="573" spans="7:8" x14ac:dyDescent="0.2">
      <c r="G573" s="1"/>
      <c r="H573">
        <f>Engagement_Summary[[#This Row],[New_Followers]]-Engagement_Summary[[#This Row],[Unfollows]]</f>
        <v>0</v>
      </c>
    </row>
    <row r="574" spans="7:8" x14ac:dyDescent="0.2">
      <c r="G574" s="1"/>
      <c r="H574">
        <f>Engagement_Summary[[#This Row],[New_Followers]]-Engagement_Summary[[#This Row],[Unfollows]]</f>
        <v>0</v>
      </c>
    </row>
    <row r="575" spans="7:8" x14ac:dyDescent="0.2">
      <c r="G575" s="1"/>
      <c r="H575">
        <f>Engagement_Summary[[#This Row],[New_Followers]]-Engagement_Summary[[#This Row],[Unfollows]]</f>
        <v>0</v>
      </c>
    </row>
    <row r="576" spans="7:8" x14ac:dyDescent="0.2">
      <c r="G576" s="1"/>
      <c r="H576">
        <f>Engagement_Summary[[#This Row],[New_Followers]]-Engagement_Summary[[#This Row],[Unfollows]]</f>
        <v>0</v>
      </c>
    </row>
    <row r="577" spans="7:8" x14ac:dyDescent="0.2">
      <c r="G577" s="1"/>
      <c r="H577">
        <f>Engagement_Summary[[#This Row],[New_Followers]]-Engagement_Summary[[#This Row],[Unfollows]]</f>
        <v>0</v>
      </c>
    </row>
    <row r="578" spans="7:8" x14ac:dyDescent="0.2">
      <c r="G578" s="1"/>
      <c r="H578">
        <f>Engagement_Summary[[#This Row],[New_Followers]]-Engagement_Summary[[#This Row],[Unfollows]]</f>
        <v>0</v>
      </c>
    </row>
    <row r="579" spans="7:8" x14ac:dyDescent="0.2">
      <c r="G579" s="1"/>
      <c r="H579">
        <f>Engagement_Summary[[#This Row],[New_Followers]]-Engagement_Summary[[#This Row],[Unfollows]]</f>
        <v>0</v>
      </c>
    </row>
    <row r="580" spans="7:8" x14ac:dyDescent="0.2">
      <c r="G580" s="1"/>
      <c r="H580">
        <f>Engagement_Summary[[#This Row],[New_Followers]]-Engagement_Summary[[#This Row],[Unfollows]]</f>
        <v>0</v>
      </c>
    </row>
    <row r="581" spans="7:8" x14ac:dyDescent="0.2">
      <c r="G581" s="1"/>
      <c r="H581">
        <f>Engagement_Summary[[#This Row],[New_Followers]]-Engagement_Summary[[#This Row],[Unfollows]]</f>
        <v>0</v>
      </c>
    </row>
    <row r="582" spans="7:8" x14ac:dyDescent="0.2">
      <c r="G582" s="1"/>
      <c r="H582">
        <f>Engagement_Summary[[#This Row],[New_Followers]]-Engagement_Summary[[#This Row],[Unfollows]]</f>
        <v>0</v>
      </c>
    </row>
    <row r="583" spans="7:8" x14ac:dyDescent="0.2">
      <c r="G583" s="1"/>
      <c r="H583">
        <f>Engagement_Summary[[#This Row],[New_Followers]]-Engagement_Summary[[#This Row],[Unfollows]]</f>
        <v>0</v>
      </c>
    </row>
    <row r="584" spans="7:8" x14ac:dyDescent="0.2">
      <c r="G584" s="1"/>
      <c r="H584">
        <f>Engagement_Summary[[#This Row],[New_Followers]]-Engagement_Summary[[#This Row],[Unfollows]]</f>
        <v>0</v>
      </c>
    </row>
    <row r="585" spans="7:8" x14ac:dyDescent="0.2">
      <c r="G585" s="1"/>
      <c r="H585">
        <f>Engagement_Summary[[#This Row],[New_Followers]]-Engagement_Summary[[#This Row],[Unfollows]]</f>
        <v>0</v>
      </c>
    </row>
    <row r="586" spans="7:8" x14ac:dyDescent="0.2">
      <c r="G586" s="1"/>
      <c r="H586">
        <f>Engagement_Summary[[#This Row],[New_Followers]]-Engagement_Summary[[#This Row],[Unfollows]]</f>
        <v>0</v>
      </c>
    </row>
    <row r="587" spans="7:8" x14ac:dyDescent="0.2">
      <c r="G587" s="1"/>
      <c r="H587">
        <f>Engagement_Summary[[#This Row],[New_Followers]]-Engagement_Summary[[#This Row],[Unfollows]]</f>
        <v>0</v>
      </c>
    </row>
    <row r="588" spans="7:8" x14ac:dyDescent="0.2">
      <c r="G588" s="1"/>
      <c r="H588">
        <f>Engagement_Summary[[#This Row],[New_Followers]]-Engagement_Summary[[#This Row],[Unfollows]]</f>
        <v>0</v>
      </c>
    </row>
    <row r="589" spans="7:8" x14ac:dyDescent="0.2">
      <c r="G589" s="1"/>
      <c r="H589">
        <f>Engagement_Summary[[#This Row],[New_Followers]]-Engagement_Summary[[#This Row],[Unfollows]]</f>
        <v>0</v>
      </c>
    </row>
    <row r="590" spans="7:8" x14ac:dyDescent="0.2">
      <c r="G590" s="1"/>
      <c r="H590">
        <f>Engagement_Summary[[#This Row],[New_Followers]]-Engagement_Summary[[#This Row],[Unfollows]]</f>
        <v>0</v>
      </c>
    </row>
    <row r="591" spans="7:8" x14ac:dyDescent="0.2">
      <c r="G591" s="1"/>
      <c r="H591">
        <f>Engagement_Summary[[#This Row],[New_Followers]]-Engagement_Summary[[#This Row],[Unfollows]]</f>
        <v>0</v>
      </c>
    </row>
    <row r="592" spans="7:8" x14ac:dyDescent="0.2">
      <c r="G592" s="1"/>
      <c r="H592">
        <f>Engagement_Summary[[#This Row],[New_Followers]]-Engagement_Summary[[#This Row],[Unfollows]]</f>
        <v>0</v>
      </c>
    </row>
    <row r="593" spans="7:8" x14ac:dyDescent="0.2">
      <c r="G593" s="1"/>
      <c r="H593">
        <f>Engagement_Summary[[#This Row],[New_Followers]]-Engagement_Summary[[#This Row],[Unfollows]]</f>
        <v>0</v>
      </c>
    </row>
    <row r="594" spans="7:8" x14ac:dyDescent="0.2">
      <c r="G594" s="1"/>
      <c r="H594">
        <f>Engagement_Summary[[#This Row],[New_Followers]]-Engagement_Summary[[#This Row],[Unfollows]]</f>
        <v>0</v>
      </c>
    </row>
    <row r="595" spans="7:8" x14ac:dyDescent="0.2">
      <c r="G595" s="1"/>
      <c r="H595">
        <f>Engagement_Summary[[#This Row],[New_Followers]]-Engagement_Summary[[#This Row],[Unfollows]]</f>
        <v>0</v>
      </c>
    </row>
    <row r="596" spans="7:8" x14ac:dyDescent="0.2">
      <c r="G596" s="1"/>
      <c r="H596">
        <f>Engagement_Summary[[#This Row],[New_Followers]]-Engagement_Summary[[#This Row],[Unfollows]]</f>
        <v>0</v>
      </c>
    </row>
    <row r="597" spans="7:8" x14ac:dyDescent="0.2">
      <c r="G597" s="1"/>
      <c r="H597">
        <f>Engagement_Summary[[#This Row],[New_Followers]]-Engagement_Summary[[#This Row],[Unfollows]]</f>
        <v>0</v>
      </c>
    </row>
    <row r="598" spans="7:8" x14ac:dyDescent="0.2">
      <c r="G598" s="1"/>
      <c r="H598">
        <f>Engagement_Summary[[#This Row],[New_Followers]]-Engagement_Summary[[#This Row],[Unfollows]]</f>
        <v>0</v>
      </c>
    </row>
    <row r="599" spans="7:8" x14ac:dyDescent="0.2">
      <c r="G599" s="1"/>
      <c r="H599">
        <f>Engagement_Summary[[#This Row],[New_Followers]]-Engagement_Summary[[#This Row],[Unfollows]]</f>
        <v>0</v>
      </c>
    </row>
    <row r="600" spans="7:8" x14ac:dyDescent="0.2">
      <c r="G600" s="1"/>
      <c r="H600">
        <f>Engagement_Summary[[#This Row],[New_Followers]]-Engagement_Summary[[#This Row],[Unfollows]]</f>
        <v>0</v>
      </c>
    </row>
    <row r="601" spans="7:8" x14ac:dyDescent="0.2">
      <c r="G601" s="1"/>
      <c r="H601">
        <f>Engagement_Summary[[#This Row],[New_Followers]]-Engagement_Summary[[#This Row],[Unfollows]]</f>
        <v>0</v>
      </c>
    </row>
    <row r="602" spans="7:8" x14ac:dyDescent="0.2">
      <c r="G602" s="1"/>
      <c r="H602">
        <f>Engagement_Summary[[#This Row],[New_Followers]]-Engagement_Summary[[#This Row],[Unfollows]]</f>
        <v>0</v>
      </c>
    </row>
    <row r="603" spans="7:8" x14ac:dyDescent="0.2">
      <c r="G603" s="1"/>
      <c r="H603">
        <f>Engagement_Summary[[#This Row],[New_Followers]]-Engagement_Summary[[#This Row],[Unfollows]]</f>
        <v>0</v>
      </c>
    </row>
    <row r="604" spans="7:8" x14ac:dyDescent="0.2">
      <c r="G604" s="1"/>
      <c r="H604">
        <f>Engagement_Summary[[#This Row],[New_Followers]]-Engagement_Summary[[#This Row],[Unfollows]]</f>
        <v>0</v>
      </c>
    </row>
    <row r="605" spans="7:8" x14ac:dyDescent="0.2">
      <c r="G605" s="1"/>
      <c r="H605">
        <f>Engagement_Summary[[#This Row],[New_Followers]]-Engagement_Summary[[#This Row],[Unfollows]]</f>
        <v>0</v>
      </c>
    </row>
    <row r="606" spans="7:8" x14ac:dyDescent="0.2">
      <c r="G606" s="1"/>
      <c r="H606">
        <f>Engagement_Summary[[#This Row],[New_Followers]]-Engagement_Summary[[#This Row],[Unfollows]]</f>
        <v>0</v>
      </c>
    </row>
    <row r="607" spans="7:8" x14ac:dyDescent="0.2">
      <c r="G607" s="1"/>
      <c r="H607">
        <f>Engagement_Summary[[#This Row],[New_Followers]]-Engagement_Summary[[#This Row],[Unfollows]]</f>
        <v>0</v>
      </c>
    </row>
    <row r="608" spans="7:8" x14ac:dyDescent="0.2">
      <c r="G608" s="1"/>
      <c r="H608">
        <f>Engagement_Summary[[#This Row],[New_Followers]]-Engagement_Summary[[#This Row],[Unfollows]]</f>
        <v>0</v>
      </c>
    </row>
    <row r="609" spans="7:8" x14ac:dyDescent="0.2">
      <c r="G609" s="1"/>
      <c r="H609">
        <f>Engagement_Summary[[#This Row],[New_Followers]]-Engagement_Summary[[#This Row],[Unfollows]]</f>
        <v>0</v>
      </c>
    </row>
    <row r="610" spans="7:8" x14ac:dyDescent="0.2">
      <c r="G610" s="1"/>
      <c r="H610">
        <f>Engagement_Summary[[#This Row],[New_Followers]]-Engagement_Summary[[#This Row],[Unfollows]]</f>
        <v>0</v>
      </c>
    </row>
    <row r="611" spans="7:8" x14ac:dyDescent="0.2">
      <c r="G611" s="1"/>
      <c r="H611">
        <f>Engagement_Summary[[#This Row],[New_Followers]]-Engagement_Summary[[#This Row],[Unfollows]]</f>
        <v>0</v>
      </c>
    </row>
    <row r="612" spans="7:8" x14ac:dyDescent="0.2">
      <c r="G612" s="1"/>
      <c r="H612">
        <f>Engagement_Summary[[#This Row],[New_Followers]]-Engagement_Summary[[#This Row],[Unfollows]]</f>
        <v>0</v>
      </c>
    </row>
    <row r="613" spans="7:8" x14ac:dyDescent="0.2">
      <c r="G613" s="1"/>
      <c r="H613">
        <f>Engagement_Summary[[#This Row],[New_Followers]]-Engagement_Summary[[#This Row],[Unfollows]]</f>
        <v>0</v>
      </c>
    </row>
    <row r="614" spans="7:8" x14ac:dyDescent="0.2">
      <c r="G614" s="1"/>
      <c r="H614">
        <f>Engagement_Summary[[#This Row],[New_Followers]]-Engagement_Summary[[#This Row],[Unfollows]]</f>
        <v>0</v>
      </c>
    </row>
    <row r="615" spans="7:8" x14ac:dyDescent="0.2">
      <c r="G615" s="1"/>
      <c r="H615">
        <f>Engagement_Summary[[#This Row],[New_Followers]]-Engagement_Summary[[#This Row],[Unfollows]]</f>
        <v>0</v>
      </c>
    </row>
    <row r="616" spans="7:8" x14ac:dyDescent="0.2">
      <c r="G616" s="1"/>
      <c r="H616">
        <f>Engagement_Summary[[#This Row],[New_Followers]]-Engagement_Summary[[#This Row],[Unfollows]]</f>
        <v>0</v>
      </c>
    </row>
    <row r="617" spans="7:8" x14ac:dyDescent="0.2">
      <c r="G617" s="1"/>
      <c r="H617">
        <f>Engagement_Summary[[#This Row],[New_Followers]]-Engagement_Summary[[#This Row],[Unfollows]]</f>
        <v>0</v>
      </c>
    </row>
    <row r="618" spans="7:8" x14ac:dyDescent="0.2">
      <c r="G618" s="1"/>
      <c r="H618">
        <f>Engagement_Summary[[#This Row],[New_Followers]]-Engagement_Summary[[#This Row],[Unfollows]]</f>
        <v>0</v>
      </c>
    </row>
    <row r="619" spans="7:8" x14ac:dyDescent="0.2">
      <c r="G619" s="1"/>
      <c r="H619">
        <f>Engagement_Summary[[#This Row],[New_Followers]]-Engagement_Summary[[#This Row],[Unfollows]]</f>
        <v>0</v>
      </c>
    </row>
    <row r="620" spans="7:8" x14ac:dyDescent="0.2">
      <c r="G620" s="1"/>
      <c r="H620">
        <f>Engagement_Summary[[#This Row],[New_Followers]]-Engagement_Summary[[#This Row],[Unfollows]]</f>
        <v>0</v>
      </c>
    </row>
    <row r="621" spans="7:8" x14ac:dyDescent="0.2">
      <c r="G621" s="1"/>
      <c r="H621">
        <f>Engagement_Summary[[#This Row],[New_Followers]]-Engagement_Summary[[#This Row],[Unfollows]]</f>
        <v>0</v>
      </c>
    </row>
    <row r="622" spans="7:8" x14ac:dyDescent="0.2">
      <c r="G622" s="1"/>
      <c r="H622">
        <f>Engagement_Summary[[#This Row],[New_Followers]]-Engagement_Summary[[#This Row],[Unfollows]]</f>
        <v>0</v>
      </c>
    </row>
    <row r="623" spans="7:8" x14ac:dyDescent="0.2">
      <c r="G623" s="1"/>
      <c r="H623">
        <f>Engagement_Summary[[#This Row],[New_Followers]]-Engagement_Summary[[#This Row],[Unfollows]]</f>
        <v>0</v>
      </c>
    </row>
    <row r="624" spans="7:8" x14ac:dyDescent="0.2">
      <c r="G624" s="1"/>
      <c r="H624">
        <f>Engagement_Summary[[#This Row],[New_Followers]]-Engagement_Summary[[#This Row],[Unfollows]]</f>
        <v>0</v>
      </c>
    </row>
    <row r="625" spans="7:8" x14ac:dyDescent="0.2">
      <c r="G625" s="1"/>
      <c r="H625">
        <f>Engagement_Summary[[#This Row],[New_Followers]]-Engagement_Summary[[#This Row],[Unfollows]]</f>
        <v>0</v>
      </c>
    </row>
    <row r="626" spans="7:8" x14ac:dyDescent="0.2">
      <c r="G626" s="1"/>
      <c r="H626">
        <f>Engagement_Summary[[#This Row],[New_Followers]]-Engagement_Summary[[#This Row],[Unfollows]]</f>
        <v>0</v>
      </c>
    </row>
    <row r="627" spans="7:8" x14ac:dyDescent="0.2">
      <c r="G627" s="1"/>
      <c r="H627">
        <f>Engagement_Summary[[#This Row],[New_Followers]]-Engagement_Summary[[#This Row],[Unfollows]]</f>
        <v>0</v>
      </c>
    </row>
    <row r="628" spans="7:8" x14ac:dyDescent="0.2">
      <c r="G628" s="1"/>
      <c r="H628">
        <f>Engagement_Summary[[#This Row],[New_Followers]]-Engagement_Summary[[#This Row],[Unfollows]]</f>
        <v>0</v>
      </c>
    </row>
    <row r="629" spans="7:8" x14ac:dyDescent="0.2">
      <c r="G629" s="1"/>
      <c r="H629">
        <f>Engagement_Summary[[#This Row],[New_Followers]]-Engagement_Summary[[#This Row],[Unfollows]]</f>
        <v>0</v>
      </c>
    </row>
    <row r="630" spans="7:8" x14ac:dyDescent="0.2">
      <c r="G630" s="1"/>
      <c r="H630">
        <f>Engagement_Summary[[#This Row],[New_Followers]]-Engagement_Summary[[#This Row],[Unfollows]]</f>
        <v>0</v>
      </c>
    </row>
    <row r="631" spans="7:8" x14ac:dyDescent="0.2">
      <c r="G631" s="1"/>
      <c r="H631">
        <f>Engagement_Summary[[#This Row],[New_Followers]]-Engagement_Summary[[#This Row],[Unfollows]]</f>
        <v>0</v>
      </c>
    </row>
    <row r="632" spans="7:8" x14ac:dyDescent="0.2">
      <c r="G632" s="1"/>
      <c r="H632">
        <f>Engagement_Summary[[#This Row],[New_Followers]]-Engagement_Summary[[#This Row],[Unfollows]]</f>
        <v>0</v>
      </c>
    </row>
    <row r="633" spans="7:8" x14ac:dyDescent="0.2">
      <c r="G633" s="1"/>
      <c r="H633">
        <f>Engagement_Summary[[#This Row],[New_Followers]]-Engagement_Summary[[#This Row],[Unfollows]]</f>
        <v>0</v>
      </c>
    </row>
    <row r="634" spans="7:8" x14ac:dyDescent="0.2">
      <c r="G634" s="1"/>
      <c r="H634">
        <f>Engagement_Summary[[#This Row],[New_Followers]]-Engagement_Summary[[#This Row],[Unfollows]]</f>
        <v>0</v>
      </c>
    </row>
    <row r="635" spans="7:8" x14ac:dyDescent="0.2">
      <c r="G635" s="1"/>
      <c r="H635">
        <f>Engagement_Summary[[#This Row],[New_Followers]]-Engagement_Summary[[#This Row],[Unfollows]]</f>
        <v>0</v>
      </c>
    </row>
    <row r="636" spans="7:8" x14ac:dyDescent="0.2">
      <c r="G636" s="1"/>
      <c r="H636">
        <f>Engagement_Summary[[#This Row],[New_Followers]]-Engagement_Summary[[#This Row],[Unfollows]]</f>
        <v>0</v>
      </c>
    </row>
    <row r="637" spans="7:8" x14ac:dyDescent="0.2">
      <c r="G637" s="1"/>
      <c r="H637">
        <f>Engagement_Summary[[#This Row],[New_Followers]]-Engagement_Summary[[#This Row],[Unfollows]]</f>
        <v>0</v>
      </c>
    </row>
    <row r="638" spans="7:8" x14ac:dyDescent="0.2">
      <c r="G638" s="1"/>
      <c r="H638">
        <f>Engagement_Summary[[#This Row],[New_Followers]]-Engagement_Summary[[#This Row],[Unfollows]]</f>
        <v>0</v>
      </c>
    </row>
    <row r="639" spans="7:8" x14ac:dyDescent="0.2">
      <c r="G639" s="1"/>
      <c r="H639">
        <f>Engagement_Summary[[#This Row],[New_Followers]]-Engagement_Summary[[#This Row],[Unfollows]]</f>
        <v>0</v>
      </c>
    </row>
    <row r="640" spans="7:8" x14ac:dyDescent="0.2">
      <c r="G640" s="1"/>
      <c r="H640">
        <f>Engagement_Summary[[#This Row],[New_Followers]]-Engagement_Summary[[#This Row],[Unfollows]]</f>
        <v>0</v>
      </c>
    </row>
    <row r="641" spans="7:8" x14ac:dyDescent="0.2">
      <c r="G641" s="1"/>
      <c r="H641">
        <f>Engagement_Summary[[#This Row],[New_Followers]]-Engagement_Summary[[#This Row],[Unfollows]]</f>
        <v>0</v>
      </c>
    </row>
    <row r="642" spans="7:8" x14ac:dyDescent="0.2">
      <c r="G642" s="1"/>
      <c r="H642">
        <f>Engagement_Summary[[#This Row],[New_Followers]]-Engagement_Summary[[#This Row],[Unfollows]]</f>
        <v>0</v>
      </c>
    </row>
    <row r="643" spans="7:8" x14ac:dyDescent="0.2">
      <c r="G643" s="1"/>
      <c r="H643">
        <f>Engagement_Summary[[#This Row],[New_Followers]]-Engagement_Summary[[#This Row],[Unfollows]]</f>
        <v>0</v>
      </c>
    </row>
    <row r="644" spans="7:8" x14ac:dyDescent="0.2">
      <c r="G644" s="1"/>
      <c r="H644">
        <f>Engagement_Summary[[#This Row],[New_Followers]]-Engagement_Summary[[#This Row],[Unfollows]]</f>
        <v>0</v>
      </c>
    </row>
    <row r="645" spans="7:8" x14ac:dyDescent="0.2">
      <c r="G645" s="1"/>
      <c r="H645">
        <f>Engagement_Summary[[#This Row],[New_Followers]]-Engagement_Summary[[#This Row],[Unfollows]]</f>
        <v>0</v>
      </c>
    </row>
    <row r="646" spans="7:8" x14ac:dyDescent="0.2">
      <c r="G646" s="1"/>
      <c r="H646">
        <f>Engagement_Summary[[#This Row],[New_Followers]]-Engagement_Summary[[#This Row],[Unfollows]]</f>
        <v>0</v>
      </c>
    </row>
    <row r="647" spans="7:8" x14ac:dyDescent="0.2">
      <c r="G647" s="1"/>
      <c r="H647">
        <f>Engagement_Summary[[#This Row],[New_Followers]]-Engagement_Summary[[#This Row],[Unfollows]]</f>
        <v>0</v>
      </c>
    </row>
    <row r="648" spans="7:8" x14ac:dyDescent="0.2">
      <c r="G648" s="1"/>
      <c r="H648">
        <f>Engagement_Summary[[#This Row],[New_Followers]]-Engagement_Summary[[#This Row],[Unfollows]]</f>
        <v>0</v>
      </c>
    </row>
    <row r="649" spans="7:8" x14ac:dyDescent="0.2">
      <c r="G649" s="1"/>
      <c r="H649">
        <f>Engagement_Summary[[#This Row],[New_Followers]]-Engagement_Summary[[#This Row],[Unfollows]]</f>
        <v>0</v>
      </c>
    </row>
    <row r="650" spans="7:8" x14ac:dyDescent="0.2">
      <c r="G650" s="1"/>
      <c r="H650">
        <f>Engagement_Summary[[#This Row],[New_Followers]]-Engagement_Summary[[#This Row],[Unfollows]]</f>
        <v>0</v>
      </c>
    </row>
    <row r="651" spans="7:8" x14ac:dyDescent="0.2">
      <c r="G651" s="1"/>
      <c r="H651">
        <f>Engagement_Summary[[#This Row],[New_Followers]]-Engagement_Summary[[#This Row],[Unfollows]]</f>
        <v>0</v>
      </c>
    </row>
    <row r="652" spans="7:8" x14ac:dyDescent="0.2">
      <c r="G652" s="1"/>
      <c r="H652">
        <f>Engagement_Summary[[#This Row],[New_Followers]]-Engagement_Summary[[#This Row],[Unfollows]]</f>
        <v>0</v>
      </c>
    </row>
    <row r="653" spans="7:8" x14ac:dyDescent="0.2">
      <c r="G653" s="1"/>
      <c r="H653">
        <f>Engagement_Summary[[#This Row],[New_Followers]]-Engagement_Summary[[#This Row],[Unfollows]]</f>
        <v>0</v>
      </c>
    </row>
    <row r="654" spans="7:8" x14ac:dyDescent="0.2">
      <c r="G654" s="1"/>
      <c r="H654">
        <f>Engagement_Summary[[#This Row],[New_Followers]]-Engagement_Summary[[#This Row],[Unfollows]]</f>
        <v>0</v>
      </c>
    </row>
    <row r="655" spans="7:8" x14ac:dyDescent="0.2">
      <c r="G655" s="1"/>
      <c r="H655">
        <f>Engagement_Summary[[#This Row],[New_Followers]]-Engagement_Summary[[#This Row],[Unfollows]]</f>
        <v>0</v>
      </c>
    </row>
    <row r="656" spans="7:8" x14ac:dyDescent="0.2">
      <c r="G656" s="1"/>
      <c r="H656">
        <f>Engagement_Summary[[#This Row],[New_Followers]]-Engagement_Summary[[#This Row],[Unfollows]]</f>
        <v>0</v>
      </c>
    </row>
    <row r="657" spans="7:8" x14ac:dyDescent="0.2">
      <c r="G657" s="1"/>
      <c r="H657">
        <f>Engagement_Summary[[#This Row],[New_Followers]]-Engagement_Summary[[#This Row],[Unfollows]]</f>
        <v>0</v>
      </c>
    </row>
    <row r="658" spans="7:8" x14ac:dyDescent="0.2">
      <c r="G658" s="1"/>
      <c r="H658">
        <f>Engagement_Summary[[#This Row],[New_Followers]]-Engagement_Summary[[#This Row],[Unfollows]]</f>
        <v>0</v>
      </c>
    </row>
    <row r="659" spans="7:8" x14ac:dyDescent="0.2">
      <c r="G659" s="1"/>
      <c r="H659">
        <f>Engagement_Summary[[#This Row],[New_Followers]]-Engagement_Summary[[#This Row],[Unfollows]]</f>
        <v>0</v>
      </c>
    </row>
    <row r="660" spans="7:8" x14ac:dyDescent="0.2">
      <c r="G660" s="1"/>
      <c r="H660">
        <f>Engagement_Summary[[#This Row],[New_Followers]]-Engagement_Summary[[#This Row],[Unfollows]]</f>
        <v>0</v>
      </c>
    </row>
    <row r="661" spans="7:8" x14ac:dyDescent="0.2">
      <c r="G661" s="1"/>
      <c r="H661">
        <f>Engagement_Summary[[#This Row],[New_Followers]]-Engagement_Summary[[#This Row],[Unfollows]]</f>
        <v>0</v>
      </c>
    </row>
    <row r="662" spans="7:8" x14ac:dyDescent="0.2">
      <c r="G662" s="1"/>
      <c r="H662">
        <f>Engagement_Summary[[#This Row],[New_Followers]]-Engagement_Summary[[#This Row],[Unfollows]]</f>
        <v>0</v>
      </c>
    </row>
    <row r="663" spans="7:8" x14ac:dyDescent="0.2">
      <c r="G663" s="1"/>
      <c r="H663">
        <f>Engagement_Summary[[#This Row],[New_Followers]]-Engagement_Summary[[#This Row],[Unfollows]]</f>
        <v>0</v>
      </c>
    </row>
    <row r="664" spans="7:8" x14ac:dyDescent="0.2">
      <c r="G664" s="1"/>
      <c r="H664">
        <f>Engagement_Summary[[#This Row],[New_Followers]]-Engagement_Summary[[#This Row],[Unfollows]]</f>
        <v>0</v>
      </c>
    </row>
    <row r="665" spans="7:8" x14ac:dyDescent="0.2">
      <c r="G665" s="1"/>
      <c r="H665">
        <f>Engagement_Summary[[#This Row],[New_Followers]]-Engagement_Summary[[#This Row],[Unfollows]]</f>
        <v>0</v>
      </c>
    </row>
    <row r="666" spans="7:8" x14ac:dyDescent="0.2">
      <c r="G666" s="1"/>
      <c r="H666">
        <f>Engagement_Summary[[#This Row],[New_Followers]]-Engagement_Summary[[#This Row],[Unfollows]]</f>
        <v>0</v>
      </c>
    </row>
    <row r="667" spans="7:8" x14ac:dyDescent="0.2">
      <c r="G667" s="1"/>
      <c r="H667">
        <f>Engagement_Summary[[#This Row],[New_Followers]]-Engagement_Summary[[#This Row],[Unfollows]]</f>
        <v>0</v>
      </c>
    </row>
    <row r="668" spans="7:8" x14ac:dyDescent="0.2">
      <c r="G668" s="1"/>
      <c r="H668">
        <f>Engagement_Summary[[#This Row],[New_Followers]]-Engagement_Summary[[#This Row],[Unfollows]]</f>
        <v>0</v>
      </c>
    </row>
    <row r="669" spans="7:8" x14ac:dyDescent="0.2">
      <c r="G669" s="1"/>
      <c r="H669">
        <f>Engagement_Summary[[#This Row],[New_Followers]]-Engagement_Summary[[#This Row],[Unfollows]]</f>
        <v>0</v>
      </c>
    </row>
    <row r="670" spans="7:8" x14ac:dyDescent="0.2">
      <c r="G670" s="1"/>
      <c r="H670">
        <f>Engagement_Summary[[#This Row],[New_Followers]]-Engagement_Summary[[#This Row],[Unfollows]]</f>
        <v>0</v>
      </c>
    </row>
    <row r="671" spans="7:8" x14ac:dyDescent="0.2">
      <c r="G671" s="1"/>
      <c r="H671">
        <f>Engagement_Summary[[#This Row],[New_Followers]]-Engagement_Summary[[#This Row],[Unfollows]]</f>
        <v>0</v>
      </c>
    </row>
    <row r="672" spans="7:8" x14ac:dyDescent="0.2">
      <c r="G672" s="1"/>
      <c r="H672">
        <f>Engagement_Summary[[#This Row],[New_Followers]]-Engagement_Summary[[#This Row],[Unfollows]]</f>
        <v>0</v>
      </c>
    </row>
    <row r="673" spans="7:8" x14ac:dyDescent="0.2">
      <c r="G673" s="1"/>
      <c r="H673">
        <f>Engagement_Summary[[#This Row],[New_Followers]]-Engagement_Summary[[#This Row],[Unfollows]]</f>
        <v>0</v>
      </c>
    </row>
    <row r="674" spans="7:8" x14ac:dyDescent="0.2">
      <c r="G674" s="1"/>
      <c r="H674">
        <f>Engagement_Summary[[#This Row],[New_Followers]]-Engagement_Summary[[#This Row],[Unfollows]]</f>
        <v>0</v>
      </c>
    </row>
    <row r="675" spans="7:8" x14ac:dyDescent="0.2">
      <c r="G675" s="1"/>
      <c r="H675">
        <f>Engagement_Summary[[#This Row],[New_Followers]]-Engagement_Summary[[#This Row],[Unfollows]]</f>
        <v>0</v>
      </c>
    </row>
    <row r="676" spans="7:8" x14ac:dyDescent="0.2">
      <c r="G676" s="1"/>
      <c r="H676">
        <f>Engagement_Summary[[#This Row],[New_Followers]]-Engagement_Summary[[#This Row],[Unfollows]]</f>
        <v>0</v>
      </c>
    </row>
    <row r="677" spans="7:8" x14ac:dyDescent="0.2">
      <c r="G677" s="1"/>
      <c r="H677">
        <f>Engagement_Summary[[#This Row],[New_Followers]]-Engagement_Summary[[#This Row],[Unfollows]]</f>
        <v>0</v>
      </c>
    </row>
    <row r="678" spans="7:8" x14ac:dyDescent="0.2">
      <c r="G678" s="1"/>
      <c r="H678">
        <f>Engagement_Summary[[#This Row],[New_Followers]]-Engagement_Summary[[#This Row],[Unfollows]]</f>
        <v>0</v>
      </c>
    </row>
    <row r="679" spans="7:8" x14ac:dyDescent="0.2">
      <c r="G679" s="1"/>
      <c r="H679">
        <f>Engagement_Summary[[#This Row],[New_Followers]]-Engagement_Summary[[#This Row],[Unfollows]]</f>
        <v>0</v>
      </c>
    </row>
    <row r="680" spans="7:8" x14ac:dyDescent="0.2">
      <c r="G680" s="1"/>
      <c r="H680">
        <f>Engagement_Summary[[#This Row],[New_Followers]]-Engagement_Summary[[#This Row],[Unfollows]]</f>
        <v>0</v>
      </c>
    </row>
    <row r="681" spans="7:8" x14ac:dyDescent="0.2">
      <c r="G681" s="1"/>
      <c r="H681">
        <f>Engagement_Summary[[#This Row],[New_Followers]]-Engagement_Summary[[#This Row],[Unfollows]]</f>
        <v>0</v>
      </c>
    </row>
    <row r="682" spans="7:8" x14ac:dyDescent="0.2">
      <c r="G682" s="1"/>
      <c r="H682">
        <f>Engagement_Summary[[#This Row],[New_Followers]]-Engagement_Summary[[#This Row],[Unfollows]]</f>
        <v>0</v>
      </c>
    </row>
    <row r="683" spans="7:8" x14ac:dyDescent="0.2">
      <c r="G683" s="1"/>
      <c r="H683">
        <f>Engagement_Summary[[#This Row],[New_Followers]]-Engagement_Summary[[#This Row],[Unfollows]]</f>
        <v>0</v>
      </c>
    </row>
    <row r="684" spans="7:8" x14ac:dyDescent="0.2">
      <c r="G684" s="1"/>
      <c r="H684">
        <f>Engagement_Summary[[#This Row],[New_Followers]]-Engagement_Summary[[#This Row],[Unfollows]]</f>
        <v>0</v>
      </c>
    </row>
    <row r="685" spans="7:8" x14ac:dyDescent="0.2">
      <c r="G685" s="1"/>
      <c r="H685">
        <f>Engagement_Summary[[#This Row],[New_Followers]]-Engagement_Summary[[#This Row],[Unfollows]]</f>
        <v>0</v>
      </c>
    </row>
    <row r="686" spans="7:8" x14ac:dyDescent="0.2">
      <c r="G686" s="1"/>
      <c r="H686">
        <f>Engagement_Summary[[#This Row],[New_Followers]]-Engagement_Summary[[#This Row],[Unfollows]]</f>
        <v>0</v>
      </c>
    </row>
    <row r="687" spans="7:8" x14ac:dyDescent="0.2">
      <c r="G687" s="1"/>
      <c r="H687">
        <f>Engagement_Summary[[#This Row],[New_Followers]]-Engagement_Summary[[#This Row],[Unfollows]]</f>
        <v>0</v>
      </c>
    </row>
    <row r="688" spans="7:8" x14ac:dyDescent="0.2">
      <c r="G688" s="1"/>
      <c r="H688">
        <f>Engagement_Summary[[#This Row],[New_Followers]]-Engagement_Summary[[#This Row],[Unfollows]]</f>
        <v>0</v>
      </c>
    </row>
    <row r="689" spans="7:8" x14ac:dyDescent="0.2">
      <c r="G689" s="1"/>
      <c r="H689">
        <f>Engagement_Summary[[#This Row],[New_Followers]]-Engagement_Summary[[#This Row],[Unfollows]]</f>
        <v>0</v>
      </c>
    </row>
    <row r="690" spans="7:8" x14ac:dyDescent="0.2">
      <c r="G690" s="1"/>
      <c r="H690">
        <f>Engagement_Summary[[#This Row],[New_Followers]]-Engagement_Summary[[#This Row],[Unfollows]]</f>
        <v>0</v>
      </c>
    </row>
    <row r="691" spans="7:8" x14ac:dyDescent="0.2">
      <c r="G691" s="1"/>
      <c r="H691">
        <f>Engagement_Summary[[#This Row],[New_Followers]]-Engagement_Summary[[#This Row],[Unfollows]]</f>
        <v>0</v>
      </c>
    </row>
    <row r="692" spans="7:8" x14ac:dyDescent="0.2">
      <c r="G692" s="1"/>
      <c r="H692">
        <f>Engagement_Summary[[#This Row],[New_Followers]]-Engagement_Summary[[#This Row],[Unfollows]]</f>
        <v>0</v>
      </c>
    </row>
    <row r="693" spans="7:8" x14ac:dyDescent="0.2">
      <c r="G693" s="1"/>
      <c r="H693">
        <f>Engagement_Summary[[#This Row],[New_Followers]]-Engagement_Summary[[#This Row],[Unfollows]]</f>
        <v>0</v>
      </c>
    </row>
    <row r="694" spans="7:8" x14ac:dyDescent="0.2">
      <c r="G694" s="1"/>
      <c r="H694">
        <f>Engagement_Summary[[#This Row],[New_Followers]]-Engagement_Summary[[#This Row],[Unfollows]]</f>
        <v>0</v>
      </c>
    </row>
    <row r="695" spans="7:8" x14ac:dyDescent="0.2">
      <c r="G695" s="1"/>
      <c r="H695">
        <f>Engagement_Summary[[#This Row],[New_Followers]]-Engagement_Summary[[#This Row],[Unfollows]]</f>
        <v>0</v>
      </c>
    </row>
    <row r="696" spans="7:8" x14ac:dyDescent="0.2">
      <c r="G696" s="1"/>
      <c r="H696">
        <f>Engagement_Summary[[#This Row],[New_Followers]]-Engagement_Summary[[#This Row],[Unfollows]]</f>
        <v>0</v>
      </c>
    </row>
    <row r="697" spans="7:8" x14ac:dyDescent="0.2">
      <c r="G697" s="1"/>
      <c r="H697">
        <f>Engagement_Summary[[#This Row],[New_Followers]]-Engagement_Summary[[#This Row],[Unfollows]]</f>
        <v>0</v>
      </c>
    </row>
    <row r="698" spans="7:8" x14ac:dyDescent="0.2">
      <c r="G698" s="1"/>
      <c r="H698">
        <f>Engagement_Summary[[#This Row],[New_Followers]]-Engagement_Summary[[#This Row],[Unfollows]]</f>
        <v>0</v>
      </c>
    </row>
    <row r="699" spans="7:8" x14ac:dyDescent="0.2">
      <c r="G699" s="1"/>
      <c r="H699">
        <f>Engagement_Summary[[#This Row],[New_Followers]]-Engagement_Summary[[#This Row],[Unfollows]]</f>
        <v>0</v>
      </c>
    </row>
    <row r="700" spans="7:8" x14ac:dyDescent="0.2">
      <c r="G700" s="1"/>
      <c r="H700">
        <f>Engagement_Summary[[#This Row],[New_Followers]]-Engagement_Summary[[#This Row],[Unfollows]]</f>
        <v>0</v>
      </c>
    </row>
    <row r="701" spans="7:8" x14ac:dyDescent="0.2">
      <c r="G701" s="1"/>
      <c r="H701">
        <f>Engagement_Summary[[#This Row],[New_Followers]]-Engagement_Summary[[#This Row],[Unfollows]]</f>
        <v>0</v>
      </c>
    </row>
    <row r="702" spans="7:8" x14ac:dyDescent="0.2">
      <c r="G702" s="1"/>
      <c r="H702">
        <f>Engagement_Summary[[#This Row],[New_Followers]]-Engagement_Summary[[#This Row],[Unfollows]]</f>
        <v>0</v>
      </c>
    </row>
    <row r="703" spans="7:8" x14ac:dyDescent="0.2">
      <c r="G703" s="1"/>
      <c r="H703">
        <f>Engagement_Summary[[#This Row],[New_Followers]]-Engagement_Summary[[#This Row],[Unfollows]]</f>
        <v>0</v>
      </c>
    </row>
    <row r="704" spans="7:8" x14ac:dyDescent="0.2">
      <c r="G704" s="1"/>
      <c r="H704">
        <f>Engagement_Summary[[#This Row],[New_Followers]]-Engagement_Summary[[#This Row],[Unfollows]]</f>
        <v>0</v>
      </c>
    </row>
    <row r="705" spans="7:8" x14ac:dyDescent="0.2">
      <c r="G705" s="1"/>
      <c r="H705">
        <f>Engagement_Summary[[#This Row],[New_Followers]]-Engagement_Summary[[#This Row],[Unfollows]]</f>
        <v>0</v>
      </c>
    </row>
    <row r="706" spans="7:8" x14ac:dyDescent="0.2">
      <c r="G706" s="1"/>
      <c r="H706">
        <f>Engagement_Summary[[#This Row],[New_Followers]]-Engagement_Summary[[#This Row],[Unfollows]]</f>
        <v>0</v>
      </c>
    </row>
    <row r="707" spans="7:8" x14ac:dyDescent="0.2">
      <c r="G707" s="1"/>
      <c r="H707">
        <f>Engagement_Summary[[#This Row],[New_Followers]]-Engagement_Summary[[#This Row],[Unfollows]]</f>
        <v>0</v>
      </c>
    </row>
    <row r="708" spans="7:8" x14ac:dyDescent="0.2">
      <c r="G708" s="1"/>
      <c r="H708">
        <f>Engagement_Summary[[#This Row],[New_Followers]]-Engagement_Summary[[#This Row],[Unfollows]]</f>
        <v>0</v>
      </c>
    </row>
    <row r="709" spans="7:8" x14ac:dyDescent="0.2">
      <c r="G709" s="1"/>
      <c r="H709">
        <f>Engagement_Summary[[#This Row],[New_Followers]]-Engagement_Summary[[#This Row],[Unfollows]]</f>
        <v>0</v>
      </c>
    </row>
    <row r="710" spans="7:8" x14ac:dyDescent="0.2">
      <c r="G710" s="1"/>
      <c r="H710">
        <f>Engagement_Summary[[#This Row],[New_Followers]]-Engagement_Summary[[#This Row],[Unfollows]]</f>
        <v>0</v>
      </c>
    </row>
    <row r="711" spans="7:8" x14ac:dyDescent="0.2">
      <c r="G711" s="1"/>
      <c r="H711">
        <f>Engagement_Summary[[#This Row],[New_Followers]]-Engagement_Summary[[#This Row],[Unfollows]]</f>
        <v>0</v>
      </c>
    </row>
    <row r="712" spans="7:8" x14ac:dyDescent="0.2">
      <c r="G712" s="1"/>
      <c r="H712">
        <f>Engagement_Summary[[#This Row],[New_Followers]]-Engagement_Summary[[#This Row],[Unfollows]]</f>
        <v>0</v>
      </c>
    </row>
    <row r="713" spans="7:8" x14ac:dyDescent="0.2">
      <c r="G713" s="1"/>
      <c r="H713">
        <f>Engagement_Summary[[#This Row],[New_Followers]]-Engagement_Summary[[#This Row],[Unfollows]]</f>
        <v>0</v>
      </c>
    </row>
    <row r="714" spans="7:8" x14ac:dyDescent="0.2">
      <c r="G714" s="1"/>
      <c r="H714">
        <f>Engagement_Summary[[#This Row],[New_Followers]]-Engagement_Summary[[#This Row],[Unfollows]]</f>
        <v>0</v>
      </c>
    </row>
    <row r="715" spans="7:8" x14ac:dyDescent="0.2">
      <c r="G715" s="1"/>
      <c r="H715">
        <f>Engagement_Summary[[#This Row],[New_Followers]]-Engagement_Summary[[#This Row],[Unfollows]]</f>
        <v>0</v>
      </c>
    </row>
    <row r="716" spans="7:8" x14ac:dyDescent="0.2">
      <c r="G716" s="1"/>
      <c r="H716">
        <f>Engagement_Summary[[#This Row],[New_Followers]]-Engagement_Summary[[#This Row],[Unfollows]]</f>
        <v>0</v>
      </c>
    </row>
    <row r="717" spans="7:8" x14ac:dyDescent="0.2">
      <c r="G717" s="1"/>
      <c r="H717">
        <f>Engagement_Summary[[#This Row],[New_Followers]]-Engagement_Summary[[#This Row],[Unfollows]]</f>
        <v>0</v>
      </c>
    </row>
    <row r="718" spans="7:8" x14ac:dyDescent="0.2">
      <c r="G718" s="1"/>
      <c r="H718">
        <f>Engagement_Summary[[#This Row],[New_Followers]]-Engagement_Summary[[#This Row],[Unfollows]]</f>
        <v>0</v>
      </c>
    </row>
    <row r="719" spans="7:8" x14ac:dyDescent="0.2">
      <c r="G719" s="1"/>
      <c r="H719">
        <f>Engagement_Summary[[#This Row],[New_Followers]]-Engagement_Summary[[#This Row],[Unfollows]]</f>
        <v>0</v>
      </c>
    </row>
    <row r="720" spans="7:8" x14ac:dyDescent="0.2">
      <c r="G720" s="1"/>
      <c r="H720">
        <f>Engagement_Summary[[#This Row],[New_Followers]]-Engagement_Summary[[#This Row],[Unfollows]]</f>
        <v>0</v>
      </c>
    </row>
    <row r="721" spans="7:8" x14ac:dyDescent="0.2">
      <c r="G721" s="1"/>
      <c r="H721">
        <f>Engagement_Summary[[#This Row],[New_Followers]]-Engagement_Summary[[#This Row],[Unfollows]]</f>
        <v>0</v>
      </c>
    </row>
    <row r="722" spans="7:8" x14ac:dyDescent="0.2">
      <c r="G722" s="1"/>
      <c r="H722">
        <f>Engagement_Summary[[#This Row],[New_Followers]]-Engagement_Summary[[#This Row],[Unfollows]]</f>
        <v>0</v>
      </c>
    </row>
    <row r="723" spans="7:8" x14ac:dyDescent="0.2">
      <c r="G723" s="1"/>
      <c r="H723">
        <f>Engagement_Summary[[#This Row],[New_Followers]]-Engagement_Summary[[#This Row],[Unfollows]]</f>
        <v>0</v>
      </c>
    </row>
    <row r="724" spans="7:8" x14ac:dyDescent="0.2">
      <c r="G724" s="1"/>
      <c r="H724">
        <f>Engagement_Summary[[#This Row],[New_Followers]]-Engagement_Summary[[#This Row],[Unfollows]]</f>
        <v>0</v>
      </c>
    </row>
    <row r="725" spans="7:8" x14ac:dyDescent="0.2">
      <c r="G725" s="1"/>
      <c r="H725">
        <f>Engagement_Summary[[#This Row],[New_Followers]]-Engagement_Summary[[#This Row],[Unfollows]]</f>
        <v>0</v>
      </c>
    </row>
    <row r="726" spans="7:8" x14ac:dyDescent="0.2">
      <c r="G726" s="1"/>
      <c r="H726">
        <f>Engagement_Summary[[#This Row],[New_Followers]]-Engagement_Summary[[#This Row],[Unfollows]]</f>
        <v>0</v>
      </c>
    </row>
    <row r="727" spans="7:8" x14ac:dyDescent="0.2">
      <c r="G727" s="1"/>
      <c r="H727">
        <f>Engagement_Summary[[#This Row],[New_Followers]]-Engagement_Summary[[#This Row],[Unfollows]]</f>
        <v>0</v>
      </c>
    </row>
    <row r="728" spans="7:8" x14ac:dyDescent="0.2">
      <c r="G728" s="1"/>
      <c r="H728">
        <f>Engagement_Summary[[#This Row],[New_Followers]]-Engagement_Summary[[#This Row],[Unfollows]]</f>
        <v>0</v>
      </c>
    </row>
    <row r="729" spans="7:8" x14ac:dyDescent="0.2">
      <c r="G729" s="1"/>
      <c r="H729">
        <f>Engagement_Summary[[#This Row],[New_Followers]]-Engagement_Summary[[#This Row],[Unfollows]]</f>
        <v>0</v>
      </c>
    </row>
    <row r="730" spans="7:8" x14ac:dyDescent="0.2">
      <c r="G730" s="1"/>
      <c r="H730">
        <f>Engagement_Summary[[#This Row],[New_Followers]]-Engagement_Summary[[#This Row],[Unfollows]]</f>
        <v>0</v>
      </c>
    </row>
    <row r="731" spans="7:8" x14ac:dyDescent="0.2">
      <c r="G731" s="1"/>
      <c r="H731">
        <f>Engagement_Summary[[#This Row],[New_Followers]]-Engagement_Summary[[#This Row],[Unfollows]]</f>
        <v>0</v>
      </c>
    </row>
    <row r="732" spans="7:8" x14ac:dyDescent="0.2">
      <c r="G732" s="1"/>
      <c r="H732">
        <f>Engagement_Summary[[#This Row],[New_Followers]]-Engagement_Summary[[#This Row],[Unfollows]]</f>
        <v>0</v>
      </c>
    </row>
    <row r="733" spans="7:8" x14ac:dyDescent="0.2">
      <c r="G733" s="1"/>
      <c r="H733">
        <f>Engagement_Summary[[#This Row],[New_Followers]]-Engagement_Summary[[#This Row],[Unfollows]]</f>
        <v>0</v>
      </c>
    </row>
    <row r="734" spans="7:8" x14ac:dyDescent="0.2">
      <c r="G734" s="1"/>
      <c r="H734">
        <f>Engagement_Summary[[#This Row],[New_Followers]]-Engagement_Summary[[#This Row],[Unfollows]]</f>
        <v>0</v>
      </c>
    </row>
    <row r="735" spans="7:8" x14ac:dyDescent="0.2">
      <c r="G735" s="1"/>
      <c r="H735">
        <f>Engagement_Summary[[#This Row],[New_Followers]]-Engagement_Summary[[#This Row],[Unfollows]]</f>
        <v>0</v>
      </c>
    </row>
    <row r="736" spans="7:8" x14ac:dyDescent="0.2">
      <c r="G736" s="1"/>
      <c r="H736">
        <f>Engagement_Summary[[#This Row],[New_Followers]]-Engagement_Summary[[#This Row],[Unfollows]]</f>
        <v>0</v>
      </c>
    </row>
    <row r="737" spans="7:8" x14ac:dyDescent="0.2">
      <c r="G737" s="1"/>
      <c r="H737">
        <f>Engagement_Summary[[#This Row],[New_Followers]]-Engagement_Summary[[#This Row],[Unfollows]]</f>
        <v>0</v>
      </c>
    </row>
    <row r="738" spans="7:8" x14ac:dyDescent="0.2">
      <c r="G738" s="1"/>
      <c r="H738">
        <f>Engagement_Summary[[#This Row],[New_Followers]]-Engagement_Summary[[#This Row],[Unfollows]]</f>
        <v>0</v>
      </c>
    </row>
    <row r="739" spans="7:8" x14ac:dyDescent="0.2">
      <c r="G739" s="1"/>
      <c r="H739">
        <f>Engagement_Summary[[#This Row],[New_Followers]]-Engagement_Summary[[#This Row],[Unfollows]]</f>
        <v>0</v>
      </c>
    </row>
    <row r="740" spans="7:8" x14ac:dyDescent="0.2">
      <c r="G740" s="1"/>
      <c r="H740">
        <f>Engagement_Summary[[#This Row],[New_Followers]]-Engagement_Summary[[#This Row],[Unfollows]]</f>
        <v>0</v>
      </c>
    </row>
    <row r="741" spans="7:8" x14ac:dyDescent="0.2">
      <c r="G741" s="1"/>
      <c r="H741">
        <f>Engagement_Summary[[#This Row],[New_Followers]]-Engagement_Summary[[#This Row],[Unfollows]]</f>
        <v>0</v>
      </c>
    </row>
    <row r="742" spans="7:8" x14ac:dyDescent="0.2">
      <c r="G742" s="1"/>
      <c r="H742">
        <f>Engagement_Summary[[#This Row],[New_Followers]]-Engagement_Summary[[#This Row],[Unfollows]]</f>
        <v>0</v>
      </c>
    </row>
    <row r="743" spans="7:8" x14ac:dyDescent="0.2">
      <c r="G743" s="1"/>
      <c r="H743">
        <f>Engagement_Summary[[#This Row],[New_Followers]]-Engagement_Summary[[#This Row],[Unfollows]]</f>
        <v>0</v>
      </c>
    </row>
    <row r="744" spans="7:8" x14ac:dyDescent="0.2">
      <c r="G744" s="1"/>
      <c r="H744">
        <f>Engagement_Summary[[#This Row],[New_Followers]]-Engagement_Summary[[#This Row],[Unfollows]]</f>
        <v>0</v>
      </c>
    </row>
    <row r="745" spans="7:8" x14ac:dyDescent="0.2">
      <c r="G745" s="1"/>
      <c r="H745">
        <f>Engagement_Summary[[#This Row],[New_Followers]]-Engagement_Summary[[#This Row],[Unfollows]]</f>
        <v>0</v>
      </c>
    </row>
    <row r="746" spans="7:8" x14ac:dyDescent="0.2">
      <c r="G746" s="1"/>
      <c r="H746">
        <f>Engagement_Summary[[#This Row],[New_Followers]]-Engagement_Summary[[#This Row],[Unfollows]]</f>
        <v>0</v>
      </c>
    </row>
    <row r="747" spans="7:8" x14ac:dyDescent="0.2">
      <c r="G747" s="1"/>
      <c r="H747">
        <f>Engagement_Summary[[#This Row],[New_Followers]]-Engagement_Summary[[#This Row],[Unfollows]]</f>
        <v>0</v>
      </c>
    </row>
    <row r="748" spans="7:8" x14ac:dyDescent="0.2">
      <c r="G748" s="1"/>
      <c r="H748">
        <f>Engagement_Summary[[#This Row],[New_Followers]]-Engagement_Summary[[#This Row],[Unfollows]]</f>
        <v>0</v>
      </c>
    </row>
    <row r="749" spans="7:8" x14ac:dyDescent="0.2">
      <c r="G749" s="1"/>
      <c r="H749">
        <f>Engagement_Summary[[#This Row],[New_Followers]]-Engagement_Summary[[#This Row],[Unfollows]]</f>
        <v>0</v>
      </c>
    </row>
    <row r="750" spans="7:8" x14ac:dyDescent="0.2">
      <c r="G750" s="1"/>
      <c r="H750">
        <f>Engagement_Summary[[#This Row],[New_Followers]]-Engagement_Summary[[#This Row],[Unfollows]]</f>
        <v>0</v>
      </c>
    </row>
    <row r="751" spans="7:8" x14ac:dyDescent="0.2">
      <c r="G751" s="1"/>
      <c r="H751">
        <f>Engagement_Summary[[#This Row],[New_Followers]]-Engagement_Summary[[#This Row],[Unfollows]]</f>
        <v>0</v>
      </c>
    </row>
    <row r="752" spans="7:8" x14ac:dyDescent="0.2">
      <c r="G752" s="1"/>
      <c r="H752">
        <f>Engagement_Summary[[#This Row],[New_Followers]]-Engagement_Summary[[#This Row],[Unfollows]]</f>
        <v>0</v>
      </c>
    </row>
    <row r="753" spans="7:8" x14ac:dyDescent="0.2">
      <c r="G753" s="1"/>
      <c r="H753">
        <f>Engagement_Summary[[#This Row],[New_Followers]]-Engagement_Summary[[#This Row],[Unfollows]]</f>
        <v>0</v>
      </c>
    </row>
    <row r="754" spans="7:8" x14ac:dyDescent="0.2">
      <c r="G754" s="1"/>
      <c r="H754">
        <f>Engagement_Summary[[#This Row],[New_Followers]]-Engagement_Summary[[#This Row],[Unfollows]]</f>
        <v>0</v>
      </c>
    </row>
    <row r="755" spans="7:8" x14ac:dyDescent="0.2">
      <c r="G755" s="1"/>
      <c r="H755">
        <f>Engagement_Summary[[#This Row],[New_Followers]]-Engagement_Summary[[#This Row],[Unfollows]]</f>
        <v>0</v>
      </c>
    </row>
    <row r="756" spans="7:8" x14ac:dyDescent="0.2">
      <c r="G756" s="1"/>
      <c r="H756">
        <f>Engagement_Summary[[#This Row],[New_Followers]]-Engagement_Summary[[#This Row],[Unfollows]]</f>
        <v>0</v>
      </c>
    </row>
    <row r="757" spans="7:8" x14ac:dyDescent="0.2">
      <c r="G757" s="1"/>
      <c r="H757">
        <f>Engagement_Summary[[#This Row],[New_Followers]]-Engagement_Summary[[#This Row],[Unfollows]]</f>
        <v>0</v>
      </c>
    </row>
    <row r="758" spans="7:8" x14ac:dyDescent="0.2">
      <c r="G758" s="1"/>
      <c r="H758">
        <f>Engagement_Summary[[#This Row],[New_Followers]]-Engagement_Summary[[#This Row],[Unfollows]]</f>
        <v>0</v>
      </c>
    </row>
    <row r="759" spans="7:8" x14ac:dyDescent="0.2">
      <c r="G759" s="1"/>
      <c r="H759">
        <f>Engagement_Summary[[#This Row],[New_Followers]]-Engagement_Summary[[#This Row],[Unfollows]]</f>
        <v>0</v>
      </c>
    </row>
    <row r="760" spans="7:8" x14ac:dyDescent="0.2">
      <c r="G760" s="1"/>
      <c r="H760">
        <f>Engagement_Summary[[#This Row],[New_Followers]]-Engagement_Summary[[#This Row],[Unfollows]]</f>
        <v>0</v>
      </c>
    </row>
    <row r="761" spans="7:8" x14ac:dyDescent="0.2">
      <c r="G761" s="1"/>
      <c r="H761">
        <f>Engagement_Summary[[#This Row],[New_Followers]]-Engagement_Summary[[#This Row],[Unfollows]]</f>
        <v>0</v>
      </c>
    </row>
    <row r="762" spans="7:8" x14ac:dyDescent="0.2">
      <c r="G762" s="1"/>
      <c r="H762">
        <f>Engagement_Summary[[#This Row],[New_Followers]]-Engagement_Summary[[#This Row],[Unfollows]]</f>
        <v>0</v>
      </c>
    </row>
    <row r="763" spans="7:8" x14ac:dyDescent="0.2">
      <c r="G763" s="1"/>
      <c r="H763">
        <f>Engagement_Summary[[#This Row],[New_Followers]]-Engagement_Summary[[#This Row],[Unfollows]]</f>
        <v>0</v>
      </c>
    </row>
    <row r="764" spans="7:8" x14ac:dyDescent="0.2">
      <c r="G764" s="1"/>
      <c r="H764">
        <f>Engagement_Summary[[#This Row],[New_Followers]]-Engagement_Summary[[#This Row],[Unfollows]]</f>
        <v>0</v>
      </c>
    </row>
    <row r="765" spans="7:8" x14ac:dyDescent="0.2">
      <c r="G765" s="1"/>
      <c r="H765">
        <f>Engagement_Summary[[#This Row],[New_Followers]]-Engagement_Summary[[#This Row],[Unfollows]]</f>
        <v>0</v>
      </c>
    </row>
    <row r="766" spans="7:8" x14ac:dyDescent="0.2">
      <c r="G766" s="1"/>
      <c r="H766">
        <f>Engagement_Summary[[#This Row],[New_Followers]]-Engagement_Summary[[#This Row],[Unfollows]]</f>
        <v>0</v>
      </c>
    </row>
    <row r="767" spans="7:8" x14ac:dyDescent="0.2">
      <c r="G767" s="1"/>
      <c r="H767">
        <f>Engagement_Summary[[#This Row],[New_Followers]]-Engagement_Summary[[#This Row],[Unfollows]]</f>
        <v>0</v>
      </c>
    </row>
    <row r="768" spans="7:8" x14ac:dyDescent="0.2">
      <c r="G768" s="1"/>
      <c r="H768">
        <f>Engagement_Summary[[#This Row],[New_Followers]]-Engagement_Summary[[#This Row],[Unfollows]]</f>
        <v>0</v>
      </c>
    </row>
    <row r="769" spans="7:8" x14ac:dyDescent="0.2">
      <c r="G769" s="1"/>
      <c r="H769">
        <f>Engagement_Summary[[#This Row],[New_Followers]]-Engagement_Summary[[#This Row],[Unfollows]]</f>
        <v>0</v>
      </c>
    </row>
    <row r="770" spans="7:8" x14ac:dyDescent="0.2">
      <c r="G770" s="1"/>
      <c r="H770">
        <f>Engagement_Summary[[#This Row],[New_Followers]]-Engagement_Summary[[#This Row],[Unfollows]]</f>
        <v>0</v>
      </c>
    </row>
    <row r="771" spans="7:8" x14ac:dyDescent="0.2">
      <c r="G771" s="1"/>
      <c r="H771">
        <f>Engagement_Summary[[#This Row],[New_Followers]]-Engagement_Summary[[#This Row],[Unfollows]]</f>
        <v>0</v>
      </c>
    </row>
    <row r="772" spans="7:8" x14ac:dyDescent="0.2">
      <c r="G772" s="1"/>
      <c r="H772">
        <f>Engagement_Summary[[#This Row],[New_Followers]]-Engagement_Summary[[#This Row],[Unfollows]]</f>
        <v>0</v>
      </c>
    </row>
    <row r="773" spans="7:8" x14ac:dyDescent="0.2">
      <c r="G773" s="1"/>
      <c r="H773">
        <f>Engagement_Summary[[#This Row],[New_Followers]]-Engagement_Summary[[#This Row],[Unfollows]]</f>
        <v>0</v>
      </c>
    </row>
    <row r="774" spans="7:8" x14ac:dyDescent="0.2">
      <c r="G774" s="1"/>
      <c r="H774">
        <f>Engagement_Summary[[#This Row],[New_Followers]]-Engagement_Summary[[#This Row],[Unfollows]]</f>
        <v>0</v>
      </c>
    </row>
    <row r="775" spans="7:8" x14ac:dyDescent="0.2">
      <c r="G775" s="1"/>
      <c r="H775">
        <f>Engagement_Summary[[#This Row],[New_Followers]]-Engagement_Summary[[#This Row],[Unfollows]]</f>
        <v>0</v>
      </c>
    </row>
    <row r="776" spans="7:8" x14ac:dyDescent="0.2">
      <c r="G776" s="1"/>
      <c r="H776">
        <f>Engagement_Summary[[#This Row],[New_Followers]]-Engagement_Summary[[#This Row],[Unfollows]]</f>
        <v>0</v>
      </c>
    </row>
    <row r="777" spans="7:8" x14ac:dyDescent="0.2">
      <c r="G777" s="1"/>
      <c r="H777">
        <f>Engagement_Summary[[#This Row],[New_Followers]]-Engagement_Summary[[#This Row],[Unfollows]]</f>
        <v>0</v>
      </c>
    </row>
    <row r="778" spans="7:8" x14ac:dyDescent="0.2">
      <c r="G778" s="1"/>
      <c r="H778">
        <f>Engagement_Summary[[#This Row],[New_Followers]]-Engagement_Summary[[#This Row],[Unfollows]]</f>
        <v>0</v>
      </c>
    </row>
    <row r="779" spans="7:8" x14ac:dyDescent="0.2">
      <c r="G779" s="1"/>
      <c r="H779">
        <f>Engagement_Summary[[#This Row],[New_Followers]]-Engagement_Summary[[#This Row],[Unfollows]]</f>
        <v>0</v>
      </c>
    </row>
    <row r="780" spans="7:8" x14ac:dyDescent="0.2">
      <c r="G780" s="1"/>
      <c r="H780">
        <f>Engagement_Summary[[#This Row],[New_Followers]]-Engagement_Summary[[#This Row],[Unfollows]]</f>
        <v>0</v>
      </c>
    </row>
    <row r="781" spans="7:8" x14ac:dyDescent="0.2">
      <c r="G781" s="1"/>
      <c r="H781">
        <f>Engagement_Summary[[#This Row],[New_Followers]]-Engagement_Summary[[#This Row],[Unfollows]]</f>
        <v>0</v>
      </c>
    </row>
    <row r="782" spans="7:8" x14ac:dyDescent="0.2">
      <c r="G782" s="1"/>
      <c r="H782">
        <f>Engagement_Summary[[#This Row],[New_Followers]]-Engagement_Summary[[#This Row],[Unfollows]]</f>
        <v>0</v>
      </c>
    </row>
    <row r="783" spans="7:8" x14ac:dyDescent="0.2">
      <c r="G783" s="1"/>
      <c r="H783">
        <f>Engagement_Summary[[#This Row],[New_Followers]]-Engagement_Summary[[#This Row],[Unfollows]]</f>
        <v>0</v>
      </c>
    </row>
    <row r="784" spans="7:8" x14ac:dyDescent="0.2">
      <c r="G784" s="1"/>
      <c r="H784">
        <f>Engagement_Summary[[#This Row],[New_Followers]]-Engagement_Summary[[#This Row],[Unfollows]]</f>
        <v>0</v>
      </c>
    </row>
    <row r="785" spans="7:8" x14ac:dyDescent="0.2">
      <c r="G785" s="1"/>
      <c r="H785">
        <f>Engagement_Summary[[#This Row],[New_Followers]]-Engagement_Summary[[#This Row],[Unfollows]]</f>
        <v>0</v>
      </c>
    </row>
    <row r="786" spans="7:8" x14ac:dyDescent="0.2">
      <c r="G786" s="1"/>
      <c r="H786">
        <f>Engagement_Summary[[#This Row],[New_Followers]]-Engagement_Summary[[#This Row],[Unfollows]]</f>
        <v>0</v>
      </c>
    </row>
    <row r="787" spans="7:8" x14ac:dyDescent="0.2">
      <c r="G787" s="1"/>
      <c r="H787">
        <f>Engagement_Summary[[#This Row],[New_Followers]]-Engagement_Summary[[#This Row],[Unfollows]]</f>
        <v>0</v>
      </c>
    </row>
    <row r="788" spans="7:8" x14ac:dyDescent="0.2">
      <c r="G788" s="1"/>
      <c r="H788">
        <f>Engagement_Summary[[#This Row],[New_Followers]]-Engagement_Summary[[#This Row],[Unfollows]]</f>
        <v>0</v>
      </c>
    </row>
    <row r="789" spans="7:8" x14ac:dyDescent="0.2">
      <c r="G789" s="1"/>
      <c r="H789">
        <f>Engagement_Summary[[#This Row],[New_Followers]]-Engagement_Summary[[#This Row],[Unfollows]]</f>
        <v>0</v>
      </c>
    </row>
    <row r="790" spans="7:8" x14ac:dyDescent="0.2">
      <c r="G790" s="1"/>
      <c r="H790">
        <f>Engagement_Summary[[#This Row],[New_Followers]]-Engagement_Summary[[#This Row],[Unfollows]]</f>
        <v>0</v>
      </c>
    </row>
    <row r="791" spans="7:8" x14ac:dyDescent="0.2">
      <c r="G791" s="1"/>
      <c r="H791">
        <f>Engagement_Summary[[#This Row],[New_Followers]]-Engagement_Summary[[#This Row],[Unfollows]]</f>
        <v>0</v>
      </c>
    </row>
    <row r="792" spans="7:8" x14ac:dyDescent="0.2">
      <c r="G792" s="1"/>
      <c r="H792">
        <f>Engagement_Summary[[#This Row],[New_Followers]]-Engagement_Summary[[#This Row],[Unfollows]]</f>
        <v>0</v>
      </c>
    </row>
    <row r="793" spans="7:8" x14ac:dyDescent="0.2">
      <c r="G793" s="1"/>
      <c r="H793">
        <f>Engagement_Summary[[#This Row],[New_Followers]]-Engagement_Summary[[#This Row],[Unfollows]]</f>
        <v>0</v>
      </c>
    </row>
    <row r="794" spans="7:8" x14ac:dyDescent="0.2">
      <c r="G794" s="1"/>
      <c r="H794">
        <f>Engagement_Summary[[#This Row],[New_Followers]]-Engagement_Summary[[#This Row],[Unfollows]]</f>
        <v>0</v>
      </c>
    </row>
    <row r="795" spans="7:8" x14ac:dyDescent="0.2">
      <c r="G795" s="1"/>
      <c r="H795">
        <f>Engagement_Summary[[#This Row],[New_Followers]]-Engagement_Summary[[#This Row],[Unfollows]]</f>
        <v>0</v>
      </c>
    </row>
    <row r="796" spans="7:8" x14ac:dyDescent="0.2">
      <c r="G796" s="1"/>
      <c r="H796">
        <f>Engagement_Summary[[#This Row],[New_Followers]]-Engagement_Summary[[#This Row],[Unfollows]]</f>
        <v>0</v>
      </c>
    </row>
    <row r="797" spans="7:8" x14ac:dyDescent="0.2">
      <c r="G797" s="1"/>
      <c r="H797">
        <f>Engagement_Summary[[#This Row],[New_Followers]]-Engagement_Summary[[#This Row],[Unfollows]]</f>
        <v>0</v>
      </c>
    </row>
    <row r="798" spans="7:8" x14ac:dyDescent="0.2">
      <c r="G798" s="1"/>
      <c r="H798">
        <f>Engagement_Summary[[#This Row],[New_Followers]]-Engagement_Summary[[#This Row],[Unfollows]]</f>
        <v>0</v>
      </c>
    </row>
    <row r="799" spans="7:8" x14ac:dyDescent="0.2">
      <c r="G799" s="1"/>
      <c r="H799">
        <f>Engagement_Summary[[#This Row],[New_Followers]]-Engagement_Summary[[#This Row],[Unfollows]]</f>
        <v>0</v>
      </c>
    </row>
    <row r="800" spans="7:8" x14ac:dyDescent="0.2">
      <c r="G800" s="1"/>
      <c r="H800">
        <f>Engagement_Summary[[#This Row],[New_Followers]]-Engagement_Summary[[#This Row],[Unfollows]]</f>
        <v>0</v>
      </c>
    </row>
    <row r="801" spans="7:8" x14ac:dyDescent="0.2">
      <c r="G801" s="1"/>
      <c r="H801">
        <f>Engagement_Summary[[#This Row],[New_Followers]]-Engagement_Summary[[#This Row],[Unfollows]]</f>
        <v>0</v>
      </c>
    </row>
    <row r="802" spans="7:8" x14ac:dyDescent="0.2">
      <c r="G802" s="1"/>
      <c r="H802">
        <f>Engagement_Summary[[#This Row],[New_Followers]]-Engagement_Summary[[#This Row],[Unfollows]]</f>
        <v>0</v>
      </c>
    </row>
    <row r="803" spans="7:8" x14ac:dyDescent="0.2">
      <c r="G803" s="1"/>
      <c r="H803">
        <f>Engagement_Summary[[#This Row],[New_Followers]]-Engagement_Summary[[#This Row],[Unfollows]]</f>
        <v>0</v>
      </c>
    </row>
    <row r="804" spans="7:8" x14ac:dyDescent="0.2">
      <c r="G804" s="1"/>
      <c r="H804">
        <f>Engagement_Summary[[#This Row],[New_Followers]]-Engagement_Summary[[#This Row],[Unfollows]]</f>
        <v>0</v>
      </c>
    </row>
    <row r="805" spans="7:8" x14ac:dyDescent="0.2">
      <c r="G805" s="1"/>
      <c r="H805">
        <f>Engagement_Summary[[#This Row],[New_Followers]]-Engagement_Summary[[#This Row],[Unfollows]]</f>
        <v>0</v>
      </c>
    </row>
    <row r="806" spans="7:8" x14ac:dyDescent="0.2">
      <c r="G806" s="1"/>
      <c r="H806">
        <f>Engagement_Summary[[#This Row],[New_Followers]]-Engagement_Summary[[#This Row],[Unfollows]]</f>
        <v>0</v>
      </c>
    </row>
    <row r="807" spans="7:8" x14ac:dyDescent="0.2">
      <c r="G807" s="1"/>
      <c r="H807">
        <f>Engagement_Summary[[#This Row],[New_Followers]]-Engagement_Summary[[#This Row],[Unfollows]]</f>
        <v>0</v>
      </c>
    </row>
    <row r="808" spans="7:8" x14ac:dyDescent="0.2">
      <c r="G808" s="1"/>
      <c r="H808">
        <f>Engagement_Summary[[#This Row],[New_Followers]]-Engagement_Summary[[#This Row],[Unfollows]]</f>
        <v>0</v>
      </c>
    </row>
    <row r="809" spans="7:8" x14ac:dyDescent="0.2">
      <c r="G809" s="1"/>
      <c r="H809">
        <f>Engagement_Summary[[#This Row],[New_Followers]]-Engagement_Summary[[#This Row],[Unfollows]]</f>
        <v>0</v>
      </c>
    </row>
    <row r="810" spans="7:8" x14ac:dyDescent="0.2">
      <c r="G810" s="1"/>
      <c r="H810">
        <f>Engagement_Summary[[#This Row],[New_Followers]]-Engagement_Summary[[#This Row],[Unfollows]]</f>
        <v>0</v>
      </c>
    </row>
    <row r="811" spans="7:8" x14ac:dyDescent="0.2">
      <c r="G811" s="1"/>
      <c r="H811">
        <f>Engagement_Summary[[#This Row],[New_Followers]]-Engagement_Summary[[#This Row],[Unfollows]]</f>
        <v>0</v>
      </c>
    </row>
    <row r="812" spans="7:8" x14ac:dyDescent="0.2">
      <c r="G812" s="1"/>
      <c r="H812">
        <f>Engagement_Summary[[#This Row],[New_Followers]]-Engagement_Summary[[#This Row],[Unfollows]]</f>
        <v>0</v>
      </c>
    </row>
    <row r="813" spans="7:8" x14ac:dyDescent="0.2">
      <c r="G813" s="1"/>
      <c r="H813">
        <f>Engagement_Summary[[#This Row],[New_Followers]]-Engagement_Summary[[#This Row],[Unfollows]]</f>
        <v>0</v>
      </c>
    </row>
    <row r="814" spans="7:8" x14ac:dyDescent="0.2">
      <c r="G814" s="1"/>
      <c r="H814">
        <f>Engagement_Summary[[#This Row],[New_Followers]]-Engagement_Summary[[#This Row],[Unfollows]]</f>
        <v>0</v>
      </c>
    </row>
    <row r="815" spans="7:8" x14ac:dyDescent="0.2">
      <c r="G815" s="1"/>
      <c r="H815">
        <f>Engagement_Summary[[#This Row],[New_Followers]]-Engagement_Summary[[#This Row],[Unfollows]]</f>
        <v>0</v>
      </c>
    </row>
    <row r="816" spans="7:8" x14ac:dyDescent="0.2">
      <c r="G816" s="1"/>
      <c r="H816">
        <f>Engagement_Summary[[#This Row],[New_Followers]]-Engagement_Summary[[#This Row],[Unfollows]]</f>
        <v>0</v>
      </c>
    </row>
    <row r="817" spans="7:8" x14ac:dyDescent="0.2">
      <c r="G817" s="1"/>
      <c r="H817">
        <f>Engagement_Summary[[#This Row],[New_Followers]]-Engagement_Summary[[#This Row],[Unfollows]]</f>
        <v>0</v>
      </c>
    </row>
    <row r="818" spans="7:8" x14ac:dyDescent="0.2">
      <c r="G818" s="1"/>
      <c r="H818">
        <f>Engagement_Summary[[#This Row],[New_Followers]]-Engagement_Summary[[#This Row],[Unfollows]]</f>
        <v>0</v>
      </c>
    </row>
    <row r="819" spans="7:8" x14ac:dyDescent="0.2">
      <c r="G819" s="1"/>
      <c r="H819">
        <f>Engagement_Summary[[#This Row],[New_Followers]]-Engagement_Summary[[#This Row],[Unfollows]]</f>
        <v>0</v>
      </c>
    </row>
    <row r="820" spans="7:8" x14ac:dyDescent="0.2">
      <c r="G820" s="1"/>
      <c r="H820">
        <f>Engagement_Summary[[#This Row],[New_Followers]]-Engagement_Summary[[#This Row],[Unfollows]]</f>
        <v>0</v>
      </c>
    </row>
    <row r="821" spans="7:8" x14ac:dyDescent="0.2">
      <c r="G821" s="1"/>
      <c r="H821">
        <f>Engagement_Summary[[#This Row],[New_Followers]]-Engagement_Summary[[#This Row],[Unfollows]]</f>
        <v>0</v>
      </c>
    </row>
    <row r="822" spans="7:8" x14ac:dyDescent="0.2">
      <c r="G822" s="1"/>
      <c r="H822">
        <f>Engagement_Summary[[#This Row],[New_Followers]]-Engagement_Summary[[#This Row],[Unfollows]]</f>
        <v>0</v>
      </c>
    </row>
    <row r="823" spans="7:8" x14ac:dyDescent="0.2">
      <c r="G823" s="1"/>
      <c r="H823">
        <f>Engagement_Summary[[#This Row],[New_Followers]]-Engagement_Summary[[#This Row],[Unfollows]]</f>
        <v>0</v>
      </c>
    </row>
    <row r="824" spans="7:8" x14ac:dyDescent="0.2">
      <c r="G824" s="1"/>
      <c r="H824">
        <f>Engagement_Summary[[#This Row],[New_Followers]]-Engagement_Summary[[#This Row],[Unfollows]]</f>
        <v>0</v>
      </c>
    </row>
    <row r="825" spans="7:8" x14ac:dyDescent="0.2">
      <c r="G825" s="1"/>
      <c r="H825">
        <f>Engagement_Summary[[#This Row],[New_Followers]]-Engagement_Summary[[#This Row],[Unfollows]]</f>
        <v>0</v>
      </c>
    </row>
    <row r="826" spans="7:8" x14ac:dyDescent="0.2">
      <c r="G826" s="1"/>
      <c r="H826">
        <f>Engagement_Summary[[#This Row],[New_Followers]]-Engagement_Summary[[#This Row],[Unfollows]]</f>
        <v>0</v>
      </c>
    </row>
    <row r="827" spans="7:8" x14ac:dyDescent="0.2">
      <c r="G827" s="1"/>
      <c r="H827">
        <f>Engagement_Summary[[#This Row],[New_Followers]]-Engagement_Summary[[#This Row],[Unfollows]]</f>
        <v>0</v>
      </c>
    </row>
    <row r="828" spans="7:8" x14ac:dyDescent="0.2">
      <c r="G828" s="1"/>
      <c r="H828">
        <f>Engagement_Summary[[#This Row],[New_Followers]]-Engagement_Summary[[#This Row],[Unfollows]]</f>
        <v>0</v>
      </c>
    </row>
    <row r="829" spans="7:8" x14ac:dyDescent="0.2">
      <c r="G829" s="1"/>
      <c r="H829">
        <f>Engagement_Summary[[#This Row],[New_Followers]]-Engagement_Summary[[#This Row],[Unfollows]]</f>
        <v>0</v>
      </c>
    </row>
    <row r="830" spans="7:8" x14ac:dyDescent="0.2">
      <c r="G830" s="1"/>
      <c r="H830">
        <f>Engagement_Summary[[#This Row],[New_Followers]]-Engagement_Summary[[#This Row],[Unfollows]]</f>
        <v>0</v>
      </c>
    </row>
    <row r="831" spans="7:8" x14ac:dyDescent="0.2">
      <c r="G831" s="1"/>
      <c r="H831">
        <f>Engagement_Summary[[#This Row],[New_Followers]]-Engagement_Summary[[#This Row],[Unfollows]]</f>
        <v>0</v>
      </c>
    </row>
    <row r="832" spans="7:8" x14ac:dyDescent="0.2">
      <c r="G832" s="1"/>
      <c r="H832">
        <f>Engagement_Summary[[#This Row],[New_Followers]]-Engagement_Summary[[#This Row],[Unfollows]]</f>
        <v>0</v>
      </c>
    </row>
    <row r="833" spans="7:8" x14ac:dyDescent="0.2">
      <c r="G833" s="1"/>
      <c r="H833">
        <f>Engagement_Summary[[#This Row],[New_Followers]]-Engagement_Summary[[#This Row],[Unfollows]]</f>
        <v>0</v>
      </c>
    </row>
    <row r="834" spans="7:8" x14ac:dyDescent="0.2">
      <c r="G834" s="1"/>
      <c r="H834">
        <f>Engagement_Summary[[#This Row],[New_Followers]]-Engagement_Summary[[#This Row],[Unfollows]]</f>
        <v>0</v>
      </c>
    </row>
    <row r="835" spans="7:8" x14ac:dyDescent="0.2">
      <c r="G835" s="1"/>
      <c r="H835">
        <f>Engagement_Summary[[#This Row],[New_Followers]]-Engagement_Summary[[#This Row],[Unfollows]]</f>
        <v>0</v>
      </c>
    </row>
    <row r="836" spans="7:8" x14ac:dyDescent="0.2">
      <c r="G836" s="1"/>
      <c r="H836">
        <f>Engagement_Summary[[#This Row],[New_Followers]]-Engagement_Summary[[#This Row],[Unfollows]]</f>
        <v>0</v>
      </c>
    </row>
    <row r="837" spans="7:8" x14ac:dyDescent="0.2">
      <c r="G837" s="1"/>
      <c r="H837">
        <f>Engagement_Summary[[#This Row],[New_Followers]]-Engagement_Summary[[#This Row],[Unfollows]]</f>
        <v>0</v>
      </c>
    </row>
    <row r="838" spans="7:8" x14ac:dyDescent="0.2">
      <c r="G838" s="1"/>
      <c r="H838">
        <f>Engagement_Summary[[#This Row],[New_Followers]]-Engagement_Summary[[#This Row],[Unfollows]]</f>
        <v>0</v>
      </c>
    </row>
    <row r="839" spans="7:8" x14ac:dyDescent="0.2">
      <c r="G839" s="1"/>
      <c r="H839">
        <f>Engagement_Summary[[#This Row],[New_Followers]]-Engagement_Summary[[#This Row],[Unfollows]]</f>
        <v>0</v>
      </c>
    </row>
    <row r="840" spans="7:8" x14ac:dyDescent="0.2">
      <c r="G840" s="1"/>
      <c r="H840">
        <f>Engagement_Summary[[#This Row],[New_Followers]]-Engagement_Summary[[#This Row],[Unfollows]]</f>
        <v>0</v>
      </c>
    </row>
    <row r="841" spans="7:8" x14ac:dyDescent="0.2">
      <c r="G841" s="1"/>
      <c r="H841">
        <f>Engagement_Summary[[#This Row],[New_Followers]]-Engagement_Summary[[#This Row],[Unfollows]]</f>
        <v>0</v>
      </c>
    </row>
    <row r="842" spans="7:8" x14ac:dyDescent="0.2">
      <c r="G842" s="1"/>
      <c r="H842">
        <f>Engagement_Summary[[#This Row],[New_Followers]]-Engagement_Summary[[#This Row],[Unfollows]]</f>
        <v>0</v>
      </c>
    </row>
    <row r="843" spans="7:8" x14ac:dyDescent="0.2">
      <c r="G843" s="1"/>
      <c r="H843">
        <f>Engagement_Summary[[#This Row],[New_Followers]]-Engagement_Summary[[#This Row],[Unfollows]]</f>
        <v>0</v>
      </c>
    </row>
    <row r="844" spans="7:8" x14ac:dyDescent="0.2">
      <c r="G844" s="1"/>
      <c r="H844">
        <f>Engagement_Summary[[#This Row],[New_Followers]]-Engagement_Summary[[#This Row],[Unfollows]]</f>
        <v>0</v>
      </c>
    </row>
    <row r="845" spans="7:8" x14ac:dyDescent="0.2">
      <c r="G845" s="1"/>
      <c r="H845">
        <f>Engagement_Summary[[#This Row],[New_Followers]]-Engagement_Summary[[#This Row],[Unfollows]]</f>
        <v>0</v>
      </c>
    </row>
    <row r="846" spans="7:8" x14ac:dyDescent="0.2">
      <c r="G846" s="1"/>
      <c r="H846">
        <f>Engagement_Summary[[#This Row],[New_Followers]]-Engagement_Summary[[#This Row],[Unfollows]]</f>
        <v>0</v>
      </c>
    </row>
    <row r="847" spans="7:8" x14ac:dyDescent="0.2">
      <c r="G847" s="1"/>
      <c r="H847">
        <f>Engagement_Summary[[#This Row],[New_Followers]]-Engagement_Summary[[#This Row],[Unfollows]]</f>
        <v>0</v>
      </c>
    </row>
    <row r="848" spans="7:8" x14ac:dyDescent="0.2">
      <c r="G848" s="1"/>
      <c r="H848">
        <f>Engagement_Summary[[#This Row],[New_Followers]]-Engagement_Summary[[#This Row],[Unfollows]]</f>
        <v>0</v>
      </c>
    </row>
    <row r="849" spans="7:8" x14ac:dyDescent="0.2">
      <c r="G849" s="1"/>
      <c r="H849">
        <f>Engagement_Summary[[#This Row],[New_Followers]]-Engagement_Summary[[#This Row],[Unfollows]]</f>
        <v>0</v>
      </c>
    </row>
    <row r="850" spans="7:8" x14ac:dyDescent="0.2">
      <c r="G850" s="1"/>
      <c r="H850">
        <f>Engagement_Summary[[#This Row],[New_Followers]]-Engagement_Summary[[#This Row],[Unfollows]]</f>
        <v>0</v>
      </c>
    </row>
    <row r="851" spans="7:8" x14ac:dyDescent="0.2">
      <c r="G851" s="1"/>
      <c r="H851">
        <f>Engagement_Summary[[#This Row],[New_Followers]]-Engagement_Summary[[#This Row],[Unfollows]]</f>
        <v>0</v>
      </c>
    </row>
    <row r="852" spans="7:8" x14ac:dyDescent="0.2">
      <c r="G852" s="1"/>
      <c r="H852">
        <f>Engagement_Summary[[#This Row],[New_Followers]]-Engagement_Summary[[#This Row],[Unfollows]]</f>
        <v>0</v>
      </c>
    </row>
    <row r="853" spans="7:8" x14ac:dyDescent="0.2">
      <c r="G853" s="1"/>
      <c r="H853">
        <f>Engagement_Summary[[#This Row],[New_Followers]]-Engagement_Summary[[#This Row],[Unfollows]]</f>
        <v>0</v>
      </c>
    </row>
    <row r="854" spans="7:8" x14ac:dyDescent="0.2">
      <c r="G854" s="1"/>
      <c r="H854">
        <f>Engagement_Summary[[#This Row],[New_Followers]]-Engagement_Summary[[#This Row],[Unfollows]]</f>
        <v>0</v>
      </c>
    </row>
    <row r="855" spans="7:8" x14ac:dyDescent="0.2">
      <c r="G855" s="1"/>
      <c r="H855">
        <f>Engagement_Summary[[#This Row],[New_Followers]]-Engagement_Summary[[#This Row],[Unfollows]]</f>
        <v>0</v>
      </c>
    </row>
    <row r="856" spans="7:8" x14ac:dyDescent="0.2">
      <c r="G856" s="1"/>
      <c r="H856">
        <f>Engagement_Summary[[#This Row],[New_Followers]]-Engagement_Summary[[#This Row],[Unfollows]]</f>
        <v>0</v>
      </c>
    </row>
    <row r="857" spans="7:8" x14ac:dyDescent="0.2">
      <c r="G857" s="1"/>
      <c r="H857">
        <f>Engagement_Summary[[#This Row],[New_Followers]]-Engagement_Summary[[#This Row],[Unfollows]]</f>
        <v>0</v>
      </c>
    </row>
    <row r="858" spans="7:8" x14ac:dyDescent="0.2">
      <c r="G858" s="1"/>
      <c r="H858">
        <f>Engagement_Summary[[#This Row],[New_Followers]]-Engagement_Summary[[#This Row],[Unfollows]]</f>
        <v>0</v>
      </c>
    </row>
    <row r="859" spans="7:8" x14ac:dyDescent="0.2">
      <c r="G859" s="1"/>
      <c r="H859">
        <f>Engagement_Summary[[#This Row],[New_Followers]]-Engagement_Summary[[#This Row],[Unfollows]]</f>
        <v>0</v>
      </c>
    </row>
    <row r="860" spans="7:8" x14ac:dyDescent="0.2">
      <c r="G860" s="1"/>
      <c r="H860">
        <f>Engagement_Summary[[#This Row],[New_Followers]]-Engagement_Summary[[#This Row],[Unfollows]]</f>
        <v>0</v>
      </c>
    </row>
    <row r="861" spans="7:8" x14ac:dyDescent="0.2">
      <c r="G861" s="1"/>
      <c r="H861">
        <f>Engagement_Summary[[#This Row],[New_Followers]]-Engagement_Summary[[#This Row],[Unfollows]]</f>
        <v>0</v>
      </c>
    </row>
    <row r="862" spans="7:8" x14ac:dyDescent="0.2">
      <c r="G862" s="1"/>
      <c r="H862">
        <f>Engagement_Summary[[#This Row],[New_Followers]]-Engagement_Summary[[#This Row],[Unfollows]]</f>
        <v>0</v>
      </c>
    </row>
    <row r="863" spans="7:8" x14ac:dyDescent="0.2">
      <c r="G863" s="1"/>
      <c r="H863">
        <f>Engagement_Summary[[#This Row],[New_Followers]]-Engagement_Summary[[#This Row],[Unfollows]]</f>
        <v>0</v>
      </c>
    </row>
    <row r="864" spans="7:8" x14ac:dyDescent="0.2">
      <c r="G864" s="1"/>
      <c r="H864">
        <f>Engagement_Summary[[#This Row],[New_Followers]]-Engagement_Summary[[#This Row],[Unfollows]]</f>
        <v>0</v>
      </c>
    </row>
    <row r="865" spans="7:8" x14ac:dyDescent="0.2">
      <c r="G865" s="1"/>
      <c r="H865">
        <f>Engagement_Summary[[#This Row],[New_Followers]]-Engagement_Summary[[#This Row],[Unfollows]]</f>
        <v>0</v>
      </c>
    </row>
    <row r="866" spans="7:8" x14ac:dyDescent="0.2">
      <c r="G866" s="1"/>
      <c r="H866">
        <f>Engagement_Summary[[#This Row],[New_Followers]]-Engagement_Summary[[#This Row],[Unfollows]]</f>
        <v>0</v>
      </c>
    </row>
    <row r="867" spans="7:8" x14ac:dyDescent="0.2">
      <c r="G867" s="1"/>
      <c r="H867">
        <f>Engagement_Summary[[#This Row],[New_Followers]]-Engagement_Summary[[#This Row],[Unfollows]]</f>
        <v>0</v>
      </c>
    </row>
    <row r="868" spans="7:8" x14ac:dyDescent="0.2">
      <c r="G868" s="1"/>
      <c r="H868">
        <f>Engagement_Summary[[#This Row],[New_Followers]]-Engagement_Summary[[#This Row],[Unfollows]]</f>
        <v>0</v>
      </c>
    </row>
    <row r="869" spans="7:8" x14ac:dyDescent="0.2">
      <c r="G869" s="1"/>
      <c r="H869">
        <f>Engagement_Summary[[#This Row],[New_Followers]]-Engagement_Summary[[#This Row],[Unfollows]]</f>
        <v>0</v>
      </c>
    </row>
    <row r="870" spans="7:8" x14ac:dyDescent="0.2">
      <c r="G870" s="1"/>
      <c r="H870">
        <f>Engagement_Summary[[#This Row],[New_Followers]]-Engagement_Summary[[#This Row],[Unfollows]]</f>
        <v>0</v>
      </c>
    </row>
    <row r="871" spans="7:8" x14ac:dyDescent="0.2">
      <c r="G871" s="1"/>
      <c r="H871">
        <f>Engagement_Summary[[#This Row],[New_Followers]]-Engagement_Summary[[#This Row],[Unfollows]]</f>
        <v>0</v>
      </c>
    </row>
    <row r="872" spans="7:8" x14ac:dyDescent="0.2">
      <c r="G872" s="1"/>
      <c r="H872">
        <f>Engagement_Summary[[#This Row],[New_Followers]]-Engagement_Summary[[#This Row],[Unfollows]]</f>
        <v>0</v>
      </c>
    </row>
    <row r="873" spans="7:8" x14ac:dyDescent="0.2">
      <c r="G873" s="1"/>
      <c r="H873">
        <f>Engagement_Summary[[#This Row],[New_Followers]]-Engagement_Summary[[#This Row],[Unfollows]]</f>
        <v>0</v>
      </c>
    </row>
    <row r="874" spans="7:8" x14ac:dyDescent="0.2">
      <c r="G874" s="1"/>
      <c r="H874">
        <f>Engagement_Summary[[#This Row],[New_Followers]]-Engagement_Summary[[#This Row],[Unfollows]]</f>
        <v>0</v>
      </c>
    </row>
    <row r="875" spans="7:8" x14ac:dyDescent="0.2">
      <c r="G875" s="1"/>
      <c r="H875">
        <f>Engagement_Summary[[#This Row],[New_Followers]]-Engagement_Summary[[#This Row],[Unfollows]]</f>
        <v>0</v>
      </c>
    </row>
    <row r="876" spans="7:8" x14ac:dyDescent="0.2">
      <c r="G876" s="1"/>
      <c r="H876">
        <f>Engagement_Summary[[#This Row],[New_Followers]]-Engagement_Summary[[#This Row],[Unfollows]]</f>
        <v>0</v>
      </c>
    </row>
    <row r="877" spans="7:8" x14ac:dyDescent="0.2">
      <c r="G877" s="1"/>
      <c r="H877">
        <f>Engagement_Summary[[#This Row],[New_Followers]]-Engagement_Summary[[#This Row],[Unfollows]]</f>
        <v>0</v>
      </c>
    </row>
    <row r="878" spans="7:8" x14ac:dyDescent="0.2">
      <c r="G878" s="1"/>
      <c r="H878">
        <f>Engagement_Summary[[#This Row],[New_Followers]]-Engagement_Summary[[#This Row],[Unfollows]]</f>
        <v>0</v>
      </c>
    </row>
    <row r="879" spans="7:8" x14ac:dyDescent="0.2">
      <c r="G879" s="1"/>
      <c r="H879">
        <f>Engagement_Summary[[#This Row],[New_Followers]]-Engagement_Summary[[#This Row],[Unfollows]]</f>
        <v>0</v>
      </c>
    </row>
    <row r="880" spans="7:8" x14ac:dyDescent="0.2">
      <c r="G880" s="1"/>
      <c r="H880">
        <f>Engagement_Summary[[#This Row],[New_Followers]]-Engagement_Summary[[#This Row],[Unfollows]]</f>
        <v>0</v>
      </c>
    </row>
    <row r="881" spans="7:8" x14ac:dyDescent="0.2">
      <c r="G881" s="1"/>
      <c r="H881">
        <f>Engagement_Summary[[#This Row],[New_Followers]]-Engagement_Summary[[#This Row],[Unfollows]]</f>
        <v>0</v>
      </c>
    </row>
    <row r="882" spans="7:8" x14ac:dyDescent="0.2">
      <c r="G882" s="1"/>
      <c r="H882">
        <f>Engagement_Summary[[#This Row],[New_Followers]]-Engagement_Summary[[#This Row],[Unfollows]]</f>
        <v>0</v>
      </c>
    </row>
    <row r="883" spans="7:8" x14ac:dyDescent="0.2">
      <c r="G883" s="1"/>
      <c r="H883">
        <f>Engagement_Summary[[#This Row],[New_Followers]]-Engagement_Summary[[#This Row],[Unfollows]]</f>
        <v>0</v>
      </c>
    </row>
    <row r="884" spans="7:8" x14ac:dyDescent="0.2">
      <c r="G884" s="1"/>
      <c r="H884">
        <f>Engagement_Summary[[#This Row],[New_Followers]]-Engagement_Summary[[#This Row],[Unfollows]]</f>
        <v>0</v>
      </c>
    </row>
    <row r="885" spans="7:8" x14ac:dyDescent="0.2">
      <c r="G885" s="1"/>
      <c r="H885">
        <f>Engagement_Summary[[#This Row],[New_Followers]]-Engagement_Summary[[#This Row],[Unfollows]]</f>
        <v>0</v>
      </c>
    </row>
    <row r="886" spans="7:8" x14ac:dyDescent="0.2">
      <c r="G886" s="1"/>
      <c r="H886">
        <f>Engagement_Summary[[#This Row],[New_Followers]]-Engagement_Summary[[#This Row],[Unfollows]]</f>
        <v>0</v>
      </c>
    </row>
    <row r="887" spans="7:8" x14ac:dyDescent="0.2">
      <c r="G887" s="1"/>
      <c r="H887">
        <f>Engagement_Summary[[#This Row],[New_Followers]]-Engagement_Summary[[#This Row],[Unfollows]]</f>
        <v>0</v>
      </c>
    </row>
    <row r="888" spans="7:8" x14ac:dyDescent="0.2">
      <c r="G888" s="1"/>
      <c r="H888">
        <f>Engagement_Summary[[#This Row],[New_Followers]]-Engagement_Summary[[#This Row],[Unfollows]]</f>
        <v>0</v>
      </c>
    </row>
    <row r="889" spans="7:8" x14ac:dyDescent="0.2">
      <c r="G889" s="1"/>
      <c r="H889">
        <f>Engagement_Summary[[#This Row],[New_Followers]]-Engagement_Summary[[#This Row],[Unfollows]]</f>
        <v>0</v>
      </c>
    </row>
    <row r="890" spans="7:8" x14ac:dyDescent="0.2">
      <c r="G890" s="1"/>
      <c r="H890">
        <f>Engagement_Summary[[#This Row],[New_Followers]]-Engagement_Summary[[#This Row],[Unfollows]]</f>
        <v>0</v>
      </c>
    </row>
    <row r="891" spans="7:8" x14ac:dyDescent="0.2">
      <c r="G891" s="1"/>
      <c r="H891">
        <f>Engagement_Summary[[#This Row],[New_Followers]]-Engagement_Summary[[#This Row],[Unfollows]]</f>
        <v>0</v>
      </c>
    </row>
    <row r="892" spans="7:8" x14ac:dyDescent="0.2">
      <c r="G892" s="1"/>
      <c r="H892">
        <f>Engagement_Summary[[#This Row],[New_Followers]]-Engagement_Summary[[#This Row],[Unfollows]]</f>
        <v>0</v>
      </c>
    </row>
    <row r="893" spans="7:8" x14ac:dyDescent="0.2">
      <c r="G893" s="1"/>
      <c r="H893">
        <f>Engagement_Summary[[#This Row],[New_Followers]]-Engagement_Summary[[#This Row],[Unfollows]]</f>
        <v>0</v>
      </c>
    </row>
    <row r="894" spans="7:8" x14ac:dyDescent="0.2">
      <c r="G894" s="1"/>
      <c r="H894">
        <f>Engagement_Summary[[#This Row],[New_Followers]]-Engagement_Summary[[#This Row],[Unfollows]]</f>
        <v>0</v>
      </c>
    </row>
    <row r="895" spans="7:8" x14ac:dyDescent="0.2">
      <c r="G895" s="1"/>
      <c r="H895">
        <f>Engagement_Summary[[#This Row],[New_Followers]]-Engagement_Summary[[#This Row],[Unfollows]]</f>
        <v>0</v>
      </c>
    </row>
    <row r="896" spans="7:8" x14ac:dyDescent="0.2">
      <c r="G896" s="1"/>
      <c r="H896">
        <f>Engagement_Summary[[#This Row],[New_Followers]]-Engagement_Summary[[#This Row],[Unfollows]]</f>
        <v>0</v>
      </c>
    </row>
    <row r="897" spans="7:8" x14ac:dyDescent="0.2">
      <c r="G897" s="1"/>
      <c r="H897">
        <f>Engagement_Summary[[#This Row],[New_Followers]]-Engagement_Summary[[#This Row],[Unfollows]]</f>
        <v>0</v>
      </c>
    </row>
    <row r="898" spans="7:8" x14ac:dyDescent="0.2">
      <c r="G898" s="1"/>
      <c r="H898">
        <f>Engagement_Summary[[#This Row],[New_Followers]]-Engagement_Summary[[#This Row],[Unfollows]]</f>
        <v>0</v>
      </c>
    </row>
    <row r="899" spans="7:8" x14ac:dyDescent="0.2">
      <c r="G899" s="1"/>
      <c r="H899">
        <f>Engagement_Summary[[#This Row],[New_Followers]]-Engagement_Summary[[#This Row],[Unfollows]]</f>
        <v>0</v>
      </c>
    </row>
    <row r="900" spans="7:8" x14ac:dyDescent="0.2">
      <c r="G900" s="1"/>
      <c r="H900">
        <f>Engagement_Summary[[#This Row],[New_Followers]]-Engagement_Summary[[#This Row],[Unfollows]]</f>
        <v>0</v>
      </c>
    </row>
    <row r="901" spans="7:8" x14ac:dyDescent="0.2">
      <c r="G901" s="1"/>
      <c r="H901">
        <f>Engagement_Summary[[#This Row],[New_Followers]]-Engagement_Summary[[#This Row],[Unfollows]]</f>
        <v>0</v>
      </c>
    </row>
    <row r="902" spans="7:8" x14ac:dyDescent="0.2">
      <c r="G902" s="1"/>
      <c r="H902">
        <f>Engagement_Summary[[#This Row],[New_Followers]]-Engagement_Summary[[#This Row],[Unfollows]]</f>
        <v>0</v>
      </c>
    </row>
    <row r="903" spans="7:8" x14ac:dyDescent="0.2">
      <c r="G903" s="1"/>
      <c r="H903">
        <f>Engagement_Summary[[#This Row],[New_Followers]]-Engagement_Summary[[#This Row],[Unfollows]]</f>
        <v>0</v>
      </c>
    </row>
    <row r="904" spans="7:8" x14ac:dyDescent="0.2">
      <c r="G904" s="1"/>
      <c r="H904">
        <f>Engagement_Summary[[#This Row],[New_Followers]]-Engagement_Summary[[#This Row],[Unfollows]]</f>
        <v>0</v>
      </c>
    </row>
    <row r="905" spans="7:8" x14ac:dyDescent="0.2">
      <c r="G905" s="1"/>
      <c r="H905">
        <f>Engagement_Summary[[#This Row],[New_Followers]]-Engagement_Summary[[#This Row],[Unfollows]]</f>
        <v>0</v>
      </c>
    </row>
    <row r="906" spans="7:8" x14ac:dyDescent="0.2">
      <c r="G906" s="1"/>
      <c r="H906">
        <f>Engagement_Summary[[#This Row],[New_Followers]]-Engagement_Summary[[#This Row],[Unfollows]]</f>
        <v>0</v>
      </c>
    </row>
    <row r="907" spans="7:8" x14ac:dyDescent="0.2">
      <c r="G907" s="1"/>
      <c r="H907">
        <f>Engagement_Summary[[#This Row],[New_Followers]]-Engagement_Summary[[#This Row],[Unfollows]]</f>
        <v>0</v>
      </c>
    </row>
    <row r="908" spans="7:8" x14ac:dyDescent="0.2">
      <c r="G908" s="1"/>
      <c r="H908">
        <f>Engagement_Summary[[#This Row],[New_Followers]]-Engagement_Summary[[#This Row],[Unfollows]]</f>
        <v>0</v>
      </c>
    </row>
    <row r="909" spans="7:8" x14ac:dyDescent="0.2">
      <c r="G909" s="1"/>
      <c r="H909">
        <f>Engagement_Summary[[#This Row],[New_Followers]]-Engagement_Summary[[#This Row],[Unfollows]]</f>
        <v>0</v>
      </c>
    </row>
    <row r="910" spans="7:8" x14ac:dyDescent="0.2">
      <c r="G910" s="1"/>
      <c r="H910">
        <f>Engagement_Summary[[#This Row],[New_Followers]]-Engagement_Summary[[#This Row],[Unfollows]]</f>
        <v>0</v>
      </c>
    </row>
    <row r="911" spans="7:8" x14ac:dyDescent="0.2">
      <c r="G911" s="1"/>
      <c r="H911">
        <f>Engagement_Summary[[#This Row],[New_Followers]]-Engagement_Summary[[#This Row],[Unfollows]]</f>
        <v>0</v>
      </c>
    </row>
    <row r="912" spans="7:8" x14ac:dyDescent="0.2">
      <c r="G912" s="1"/>
      <c r="H912">
        <f>Engagement_Summary[[#This Row],[New_Followers]]-Engagement_Summary[[#This Row],[Unfollows]]</f>
        <v>0</v>
      </c>
    </row>
    <row r="913" spans="7:8" x14ac:dyDescent="0.2">
      <c r="G913" s="1"/>
      <c r="H913">
        <f>Engagement_Summary[[#This Row],[New_Followers]]-Engagement_Summary[[#This Row],[Unfollows]]</f>
        <v>0</v>
      </c>
    </row>
    <row r="914" spans="7:8" x14ac:dyDescent="0.2">
      <c r="G914" s="1"/>
      <c r="H914">
        <f>Engagement_Summary[[#This Row],[New_Followers]]-Engagement_Summary[[#This Row],[Unfollows]]</f>
        <v>0</v>
      </c>
    </row>
    <row r="915" spans="7:8" x14ac:dyDescent="0.2">
      <c r="G915" s="1"/>
      <c r="H915">
        <f>Engagement_Summary[[#This Row],[New_Followers]]-Engagement_Summary[[#This Row],[Unfollows]]</f>
        <v>0</v>
      </c>
    </row>
    <row r="916" spans="7:8" x14ac:dyDescent="0.2">
      <c r="G916" s="1"/>
      <c r="H916">
        <f>Engagement_Summary[[#This Row],[New_Followers]]-Engagement_Summary[[#This Row],[Unfollows]]</f>
        <v>0</v>
      </c>
    </row>
    <row r="917" spans="7:8" x14ac:dyDescent="0.2">
      <c r="G917" s="1"/>
      <c r="H917">
        <f>Engagement_Summary[[#This Row],[New_Followers]]-Engagement_Summary[[#This Row],[Unfollows]]</f>
        <v>0</v>
      </c>
    </row>
    <row r="918" spans="7:8" x14ac:dyDescent="0.2">
      <c r="G918" s="1"/>
      <c r="H918">
        <f>Engagement_Summary[[#This Row],[New_Followers]]-Engagement_Summary[[#This Row],[Unfollows]]</f>
        <v>0</v>
      </c>
    </row>
    <row r="919" spans="7:8" x14ac:dyDescent="0.2">
      <c r="G919" s="1"/>
      <c r="H919">
        <f>Engagement_Summary[[#This Row],[New_Followers]]-Engagement_Summary[[#This Row],[Unfollows]]</f>
        <v>0</v>
      </c>
    </row>
    <row r="920" spans="7:8" x14ac:dyDescent="0.2">
      <c r="G920" s="1"/>
      <c r="H920">
        <f>Engagement_Summary[[#This Row],[New_Followers]]-Engagement_Summary[[#This Row],[Unfollows]]</f>
        <v>0</v>
      </c>
    </row>
    <row r="921" spans="7:8" x14ac:dyDescent="0.2">
      <c r="G921" s="1"/>
      <c r="H921">
        <f>Engagement_Summary[[#This Row],[New_Followers]]-Engagement_Summary[[#This Row],[Unfollows]]</f>
        <v>0</v>
      </c>
    </row>
    <row r="922" spans="7:8" x14ac:dyDescent="0.2">
      <c r="G922" s="1"/>
      <c r="H922">
        <f>Engagement_Summary[[#This Row],[New_Followers]]-Engagement_Summary[[#This Row],[Unfollows]]</f>
        <v>0</v>
      </c>
    </row>
    <row r="923" spans="7:8" x14ac:dyDescent="0.2">
      <c r="G923" s="1"/>
      <c r="H923">
        <f>Engagement_Summary[[#This Row],[New_Followers]]-Engagement_Summary[[#This Row],[Unfollows]]</f>
        <v>0</v>
      </c>
    </row>
    <row r="924" spans="7:8" x14ac:dyDescent="0.2">
      <c r="G924" s="1"/>
      <c r="H924">
        <f>Engagement_Summary[[#This Row],[New_Followers]]-Engagement_Summary[[#This Row],[Unfollows]]</f>
        <v>0</v>
      </c>
    </row>
    <row r="925" spans="7:8" x14ac:dyDescent="0.2">
      <c r="G925" s="1"/>
      <c r="H925">
        <f>Engagement_Summary[[#This Row],[New_Followers]]-Engagement_Summary[[#This Row],[Unfollows]]</f>
        <v>0</v>
      </c>
    </row>
    <row r="926" spans="7:8" x14ac:dyDescent="0.2">
      <c r="G926" s="1"/>
      <c r="H926">
        <f>Engagement_Summary[[#This Row],[New_Followers]]-Engagement_Summary[[#This Row],[Unfollows]]</f>
        <v>0</v>
      </c>
    </row>
    <row r="927" spans="7:8" x14ac:dyDescent="0.2">
      <c r="G927" s="1"/>
      <c r="H927">
        <f>Engagement_Summary[[#This Row],[New_Followers]]-Engagement_Summary[[#This Row],[Unfollows]]</f>
        <v>0</v>
      </c>
    </row>
    <row r="928" spans="7:8" x14ac:dyDescent="0.2">
      <c r="G928" s="1"/>
      <c r="H928">
        <f>Engagement_Summary[[#This Row],[New_Followers]]-Engagement_Summary[[#This Row],[Unfollows]]</f>
        <v>0</v>
      </c>
    </row>
    <row r="929" spans="7:8" x14ac:dyDescent="0.2">
      <c r="G929" s="1"/>
      <c r="H929">
        <f>Engagement_Summary[[#This Row],[New_Followers]]-Engagement_Summary[[#This Row],[Unfollows]]</f>
        <v>0</v>
      </c>
    </row>
    <row r="930" spans="7:8" x14ac:dyDescent="0.2">
      <c r="G930" s="1"/>
      <c r="H930">
        <f>Engagement_Summary[[#This Row],[New_Followers]]-Engagement_Summary[[#This Row],[Unfollows]]</f>
        <v>0</v>
      </c>
    </row>
    <row r="931" spans="7:8" x14ac:dyDescent="0.2">
      <c r="G931" s="1"/>
      <c r="H931">
        <f>Engagement_Summary[[#This Row],[New_Followers]]-Engagement_Summary[[#This Row],[Unfollows]]</f>
        <v>0</v>
      </c>
    </row>
    <row r="932" spans="7:8" x14ac:dyDescent="0.2">
      <c r="G932" s="1"/>
      <c r="H932">
        <f>Engagement_Summary[[#This Row],[New_Followers]]-Engagement_Summary[[#This Row],[Unfollows]]</f>
        <v>0</v>
      </c>
    </row>
    <row r="933" spans="7:8" x14ac:dyDescent="0.2">
      <c r="G933" s="1"/>
      <c r="H933">
        <f>Engagement_Summary[[#This Row],[New_Followers]]-Engagement_Summary[[#This Row],[Unfollows]]</f>
        <v>0</v>
      </c>
    </row>
    <row r="934" spans="7:8" x14ac:dyDescent="0.2">
      <c r="G934" s="1"/>
      <c r="H934">
        <f>Engagement_Summary[[#This Row],[New_Followers]]-Engagement_Summary[[#This Row],[Unfollows]]</f>
        <v>0</v>
      </c>
    </row>
    <row r="935" spans="7:8" x14ac:dyDescent="0.2">
      <c r="G935" s="1"/>
      <c r="H935">
        <f>Engagement_Summary[[#This Row],[New_Followers]]-Engagement_Summary[[#This Row],[Unfollows]]</f>
        <v>0</v>
      </c>
    </row>
    <row r="936" spans="7:8" x14ac:dyDescent="0.2">
      <c r="G936" s="1"/>
      <c r="H936">
        <f>Engagement_Summary[[#This Row],[New_Followers]]-Engagement_Summary[[#This Row],[Unfollows]]</f>
        <v>0</v>
      </c>
    </row>
    <row r="937" spans="7:8" x14ac:dyDescent="0.2">
      <c r="G937" s="1"/>
      <c r="H937">
        <f>Engagement_Summary[[#This Row],[New_Followers]]-Engagement_Summary[[#This Row],[Unfollows]]</f>
        <v>0</v>
      </c>
    </row>
    <row r="938" spans="7:8" x14ac:dyDescent="0.2">
      <c r="G938" s="1"/>
      <c r="H938">
        <f>Engagement_Summary[[#This Row],[New_Followers]]-Engagement_Summary[[#This Row],[Unfollows]]</f>
        <v>0</v>
      </c>
    </row>
    <row r="939" spans="7:8" x14ac:dyDescent="0.2">
      <c r="G939" s="1"/>
      <c r="H939">
        <f>Engagement_Summary[[#This Row],[New_Followers]]-Engagement_Summary[[#This Row],[Unfollows]]</f>
        <v>0</v>
      </c>
    </row>
    <row r="940" spans="7:8" x14ac:dyDescent="0.2">
      <c r="G940" s="1"/>
      <c r="H940">
        <f>Engagement_Summary[[#This Row],[New_Followers]]-Engagement_Summary[[#This Row],[Unfollows]]</f>
        <v>0</v>
      </c>
    </row>
    <row r="941" spans="7:8" x14ac:dyDescent="0.2">
      <c r="G941" s="1"/>
      <c r="H941">
        <f>Engagement_Summary[[#This Row],[New_Followers]]-Engagement_Summary[[#This Row],[Unfollows]]</f>
        <v>0</v>
      </c>
    </row>
    <row r="942" spans="7:8" x14ac:dyDescent="0.2">
      <c r="G942" s="1"/>
      <c r="H942">
        <f>Engagement_Summary[[#This Row],[New_Followers]]-Engagement_Summary[[#This Row],[Unfollows]]</f>
        <v>0</v>
      </c>
    </row>
    <row r="943" spans="7:8" x14ac:dyDescent="0.2">
      <c r="G943" s="1"/>
      <c r="H943">
        <f>Engagement_Summary[[#This Row],[New_Followers]]-Engagement_Summary[[#This Row],[Unfollows]]</f>
        <v>0</v>
      </c>
    </row>
    <row r="944" spans="7:8" x14ac:dyDescent="0.2">
      <c r="G944" s="1"/>
      <c r="H944">
        <f>Engagement_Summary[[#This Row],[New_Followers]]-Engagement_Summary[[#This Row],[Unfollows]]</f>
        <v>0</v>
      </c>
    </row>
    <row r="945" spans="7:8" x14ac:dyDescent="0.2">
      <c r="G945" s="1"/>
      <c r="H945">
        <f>Engagement_Summary[[#This Row],[New_Followers]]-Engagement_Summary[[#This Row],[Unfollows]]</f>
        <v>0</v>
      </c>
    </row>
    <row r="946" spans="7:8" x14ac:dyDescent="0.2">
      <c r="G946" s="1"/>
      <c r="H946">
        <f>Engagement_Summary[[#This Row],[New_Followers]]-Engagement_Summary[[#This Row],[Unfollows]]</f>
        <v>0</v>
      </c>
    </row>
    <row r="947" spans="7:8" x14ac:dyDescent="0.2">
      <c r="G947" s="1"/>
      <c r="H947">
        <f>Engagement_Summary[[#This Row],[New_Followers]]-Engagement_Summary[[#This Row],[Unfollows]]</f>
        <v>0</v>
      </c>
    </row>
    <row r="948" spans="7:8" x14ac:dyDescent="0.2">
      <c r="G948" s="1"/>
      <c r="H948">
        <f>Engagement_Summary[[#This Row],[New_Followers]]-Engagement_Summary[[#This Row],[Unfollows]]</f>
        <v>0</v>
      </c>
    </row>
    <row r="949" spans="7:8" x14ac:dyDescent="0.2">
      <c r="G949" s="1"/>
      <c r="H949">
        <f>Engagement_Summary[[#This Row],[New_Followers]]-Engagement_Summary[[#This Row],[Unfollows]]</f>
        <v>0</v>
      </c>
    </row>
    <row r="950" spans="7:8" x14ac:dyDescent="0.2">
      <c r="G950" s="1"/>
      <c r="H950">
        <f>Engagement_Summary[[#This Row],[New_Followers]]-Engagement_Summary[[#This Row],[Unfollows]]</f>
        <v>0</v>
      </c>
    </row>
    <row r="951" spans="7:8" x14ac:dyDescent="0.2">
      <c r="G951" s="1"/>
      <c r="H951">
        <f>Engagement_Summary[[#This Row],[New_Followers]]-Engagement_Summary[[#This Row],[Unfollows]]</f>
        <v>0</v>
      </c>
    </row>
    <row r="952" spans="7:8" x14ac:dyDescent="0.2">
      <c r="G952" s="1"/>
      <c r="H952">
        <f>Engagement_Summary[[#This Row],[New_Followers]]-Engagement_Summary[[#This Row],[Unfollows]]</f>
        <v>0</v>
      </c>
    </row>
    <row r="953" spans="7:8" x14ac:dyDescent="0.2">
      <c r="G953" s="1"/>
      <c r="H953">
        <f>Engagement_Summary[[#This Row],[New_Followers]]-Engagement_Summary[[#This Row],[Unfollows]]</f>
        <v>0</v>
      </c>
    </row>
    <row r="954" spans="7:8" x14ac:dyDescent="0.2">
      <c r="G954" s="1"/>
      <c r="H954">
        <f>Engagement_Summary[[#This Row],[New_Followers]]-Engagement_Summary[[#This Row],[Unfollows]]</f>
        <v>0</v>
      </c>
    </row>
    <row r="955" spans="7:8" x14ac:dyDescent="0.2">
      <c r="G955" s="1"/>
      <c r="H955">
        <f>Engagement_Summary[[#This Row],[New_Followers]]-Engagement_Summary[[#This Row],[Unfollows]]</f>
        <v>0</v>
      </c>
    </row>
    <row r="956" spans="7:8" x14ac:dyDescent="0.2">
      <c r="G956" s="1"/>
      <c r="H956">
        <f>Engagement_Summary[[#This Row],[New_Followers]]-Engagement_Summary[[#This Row],[Unfollows]]</f>
        <v>0</v>
      </c>
    </row>
    <row r="957" spans="7:8" x14ac:dyDescent="0.2">
      <c r="G957" s="1"/>
      <c r="H957">
        <f>Engagement_Summary[[#This Row],[New_Followers]]-Engagement_Summary[[#This Row],[Unfollows]]</f>
        <v>0</v>
      </c>
    </row>
    <row r="958" spans="7:8" x14ac:dyDescent="0.2">
      <c r="G958" s="1"/>
      <c r="H958">
        <f>Engagement_Summary[[#This Row],[New_Followers]]-Engagement_Summary[[#This Row],[Unfollows]]</f>
        <v>0</v>
      </c>
    </row>
    <row r="959" spans="7:8" x14ac:dyDescent="0.2">
      <c r="G959" s="1"/>
      <c r="H959">
        <f>Engagement_Summary[[#This Row],[New_Followers]]-Engagement_Summary[[#This Row],[Unfollows]]</f>
        <v>0</v>
      </c>
    </row>
    <row r="960" spans="7:8" x14ac:dyDescent="0.2">
      <c r="G960" s="1"/>
      <c r="H960">
        <f>Engagement_Summary[[#This Row],[New_Followers]]-Engagement_Summary[[#This Row],[Unfollows]]</f>
        <v>0</v>
      </c>
    </row>
    <row r="961" spans="7:8" x14ac:dyDescent="0.2">
      <c r="G961" s="1"/>
      <c r="H961">
        <f>Engagement_Summary[[#This Row],[New_Followers]]-Engagement_Summary[[#This Row],[Unfollows]]</f>
        <v>0</v>
      </c>
    </row>
    <row r="962" spans="7:8" x14ac:dyDescent="0.2">
      <c r="G962" s="1"/>
      <c r="H962">
        <f>Engagement_Summary[[#This Row],[New_Followers]]-Engagement_Summary[[#This Row],[Unfollows]]</f>
        <v>0</v>
      </c>
    </row>
    <row r="963" spans="7:8" x14ac:dyDescent="0.2">
      <c r="G963" s="1"/>
      <c r="H963">
        <f>Engagement_Summary[[#This Row],[New_Followers]]-Engagement_Summary[[#This Row],[Unfollows]]</f>
        <v>0</v>
      </c>
    </row>
    <row r="964" spans="7:8" x14ac:dyDescent="0.2">
      <c r="G964" s="1"/>
      <c r="H964">
        <f>Engagement_Summary[[#This Row],[New_Followers]]-Engagement_Summary[[#This Row],[Unfollows]]</f>
        <v>0</v>
      </c>
    </row>
    <row r="965" spans="7:8" x14ac:dyDescent="0.2">
      <c r="G965" s="1"/>
      <c r="H965">
        <f>Engagement_Summary[[#This Row],[New_Followers]]-Engagement_Summary[[#This Row],[Unfollows]]</f>
        <v>0</v>
      </c>
    </row>
    <row r="966" spans="7:8" x14ac:dyDescent="0.2">
      <c r="G966" s="1"/>
      <c r="H966">
        <f>Engagement_Summary[[#This Row],[New_Followers]]-Engagement_Summary[[#This Row],[Unfollows]]</f>
        <v>0</v>
      </c>
    </row>
    <row r="967" spans="7:8" x14ac:dyDescent="0.2">
      <c r="G967" s="1"/>
      <c r="H967">
        <f>Engagement_Summary[[#This Row],[New_Followers]]-Engagement_Summary[[#This Row],[Unfollows]]</f>
        <v>0</v>
      </c>
    </row>
    <row r="968" spans="7:8" x14ac:dyDescent="0.2">
      <c r="G968" s="1"/>
      <c r="H968">
        <f>Engagement_Summary[[#This Row],[New_Followers]]-Engagement_Summary[[#This Row],[Unfollows]]</f>
        <v>0</v>
      </c>
    </row>
    <row r="969" spans="7:8" x14ac:dyDescent="0.2">
      <c r="G969" s="1"/>
      <c r="H969">
        <f>Engagement_Summary[[#This Row],[New_Followers]]-Engagement_Summary[[#This Row],[Unfollows]]</f>
        <v>0</v>
      </c>
    </row>
    <row r="970" spans="7:8" x14ac:dyDescent="0.2">
      <c r="G970" s="1"/>
      <c r="H970">
        <f>Engagement_Summary[[#This Row],[New_Followers]]-Engagement_Summary[[#This Row],[Unfollows]]</f>
        <v>0</v>
      </c>
    </row>
    <row r="971" spans="7:8" x14ac:dyDescent="0.2">
      <c r="G971" s="1"/>
      <c r="H971">
        <f>Engagement_Summary[[#This Row],[New_Followers]]-Engagement_Summary[[#This Row],[Unfollows]]</f>
        <v>0</v>
      </c>
    </row>
    <row r="972" spans="7:8" x14ac:dyDescent="0.2">
      <c r="G972" s="1"/>
      <c r="H972">
        <f>Engagement_Summary[[#This Row],[New_Followers]]-Engagement_Summary[[#This Row],[Unfollows]]</f>
        <v>0</v>
      </c>
    </row>
    <row r="973" spans="7:8" x14ac:dyDescent="0.2">
      <c r="G973" s="1"/>
      <c r="H973">
        <f>Engagement_Summary[[#This Row],[New_Followers]]-Engagement_Summary[[#This Row],[Unfollows]]</f>
        <v>0</v>
      </c>
    </row>
    <row r="974" spans="7:8" x14ac:dyDescent="0.2">
      <c r="G974" s="1"/>
      <c r="H974">
        <f>Engagement_Summary[[#This Row],[New_Followers]]-Engagement_Summary[[#This Row],[Unfollows]]</f>
        <v>0</v>
      </c>
    </row>
    <row r="975" spans="7:8" x14ac:dyDescent="0.2">
      <c r="G975" s="1"/>
      <c r="H975">
        <f>Engagement_Summary[[#This Row],[New_Followers]]-Engagement_Summary[[#This Row],[Unfollows]]</f>
        <v>0</v>
      </c>
    </row>
    <row r="976" spans="7:8" x14ac:dyDescent="0.2">
      <c r="G976" s="1"/>
      <c r="H976">
        <f>Engagement_Summary[[#This Row],[New_Followers]]-Engagement_Summary[[#This Row],[Unfollows]]</f>
        <v>0</v>
      </c>
    </row>
    <row r="977" spans="7:8" x14ac:dyDescent="0.2">
      <c r="G977" s="1"/>
      <c r="H977">
        <f>Engagement_Summary[[#This Row],[New_Followers]]-Engagement_Summary[[#This Row],[Unfollows]]</f>
        <v>0</v>
      </c>
    </row>
    <row r="978" spans="7:8" x14ac:dyDescent="0.2">
      <c r="G978" s="1"/>
      <c r="H978">
        <f>Engagement_Summary[[#This Row],[New_Followers]]-Engagement_Summary[[#This Row],[Unfollows]]</f>
        <v>0</v>
      </c>
    </row>
    <row r="979" spans="7:8" x14ac:dyDescent="0.2">
      <c r="G979" s="1"/>
      <c r="H979">
        <f>Engagement_Summary[[#This Row],[New_Followers]]-Engagement_Summary[[#This Row],[Unfollows]]</f>
        <v>0</v>
      </c>
    </row>
    <row r="980" spans="7:8" x14ac:dyDescent="0.2">
      <c r="G980" s="1"/>
      <c r="H980">
        <f>Engagement_Summary[[#This Row],[New_Followers]]-Engagement_Summary[[#This Row],[Unfollows]]</f>
        <v>0</v>
      </c>
    </row>
    <row r="981" spans="7:8" x14ac:dyDescent="0.2">
      <c r="G981" s="1"/>
      <c r="H981">
        <f>Engagement_Summary[[#This Row],[New_Followers]]-Engagement_Summary[[#This Row],[Unfollows]]</f>
        <v>0</v>
      </c>
    </row>
    <row r="982" spans="7:8" x14ac:dyDescent="0.2">
      <c r="G982" s="1"/>
      <c r="H982">
        <f>Engagement_Summary[[#This Row],[New_Followers]]-Engagement_Summary[[#This Row],[Unfollows]]</f>
        <v>0</v>
      </c>
    </row>
    <row r="983" spans="7:8" x14ac:dyDescent="0.2">
      <c r="G983" s="1"/>
      <c r="H983">
        <f>Engagement_Summary[[#This Row],[New_Followers]]-Engagement_Summary[[#This Row],[Unfollows]]</f>
        <v>0</v>
      </c>
    </row>
    <row r="984" spans="7:8" x14ac:dyDescent="0.2">
      <c r="G984" s="1"/>
      <c r="H984">
        <f>Engagement_Summary[[#This Row],[New_Followers]]-Engagement_Summary[[#This Row],[Unfollows]]</f>
        <v>0</v>
      </c>
    </row>
    <row r="985" spans="7:8" x14ac:dyDescent="0.2">
      <c r="G985" s="1"/>
      <c r="H985">
        <f>Engagement_Summary[[#This Row],[New_Followers]]-Engagement_Summary[[#This Row],[Unfollows]]</f>
        <v>0</v>
      </c>
    </row>
    <row r="986" spans="7:8" x14ac:dyDescent="0.2">
      <c r="G986" s="1"/>
      <c r="H986">
        <f>Engagement_Summary[[#This Row],[New_Followers]]-Engagement_Summary[[#This Row],[Unfollows]]</f>
        <v>0</v>
      </c>
    </row>
    <row r="987" spans="7:8" x14ac:dyDescent="0.2">
      <c r="G987" s="1"/>
      <c r="H987">
        <f>Engagement_Summary[[#This Row],[New_Followers]]-Engagement_Summary[[#This Row],[Unfollows]]</f>
        <v>0</v>
      </c>
    </row>
    <row r="988" spans="7:8" x14ac:dyDescent="0.2">
      <c r="G988" s="1"/>
      <c r="H988">
        <f>Engagement_Summary[[#This Row],[New_Followers]]-Engagement_Summary[[#This Row],[Unfollows]]</f>
        <v>0</v>
      </c>
    </row>
    <row r="989" spans="7:8" x14ac:dyDescent="0.2">
      <c r="G989" s="1"/>
      <c r="H989">
        <f>Engagement_Summary[[#This Row],[New_Followers]]-Engagement_Summary[[#This Row],[Unfollows]]</f>
        <v>0</v>
      </c>
    </row>
    <row r="990" spans="7:8" x14ac:dyDescent="0.2">
      <c r="G990" s="1"/>
      <c r="H990">
        <f>Engagement_Summary[[#This Row],[New_Followers]]-Engagement_Summary[[#This Row],[Unfollows]]</f>
        <v>0</v>
      </c>
    </row>
    <row r="991" spans="7:8" x14ac:dyDescent="0.2">
      <c r="G991" s="1"/>
      <c r="H991">
        <f>Engagement_Summary[[#This Row],[New_Followers]]-Engagement_Summary[[#This Row],[Unfollows]]</f>
        <v>0</v>
      </c>
    </row>
    <row r="992" spans="7:8" x14ac:dyDescent="0.2">
      <c r="G992" s="1"/>
      <c r="H992">
        <f>Engagement_Summary[[#This Row],[New_Followers]]-Engagement_Summary[[#This Row],[Unfollows]]</f>
        <v>0</v>
      </c>
    </row>
    <row r="993" spans="7:8" x14ac:dyDescent="0.2">
      <c r="G993" s="1"/>
      <c r="H993">
        <f>Engagement_Summary[[#This Row],[New_Followers]]-Engagement_Summary[[#This Row],[Unfollows]]</f>
        <v>0</v>
      </c>
    </row>
    <row r="994" spans="7:8" x14ac:dyDescent="0.2">
      <c r="G994" s="1"/>
      <c r="H994">
        <f>Engagement_Summary[[#This Row],[New_Followers]]-Engagement_Summary[[#This Row],[Unfollows]]</f>
        <v>0</v>
      </c>
    </row>
    <row r="995" spans="7:8" x14ac:dyDescent="0.2">
      <c r="G995" s="1"/>
      <c r="H995">
        <f>Engagement_Summary[[#This Row],[New_Followers]]-Engagement_Summary[[#This Row],[Unfollows]]</f>
        <v>0</v>
      </c>
    </row>
    <row r="996" spans="7:8" x14ac:dyDescent="0.2">
      <c r="G996" s="1"/>
      <c r="H996">
        <f>Engagement_Summary[[#This Row],[New_Followers]]-Engagement_Summary[[#This Row],[Unfollows]]</f>
        <v>0</v>
      </c>
    </row>
    <row r="997" spans="7:8" x14ac:dyDescent="0.2">
      <c r="G997" s="1"/>
      <c r="H997">
        <f>Engagement_Summary[[#This Row],[New_Followers]]-Engagement_Summary[[#This Row],[Unfollows]]</f>
        <v>0</v>
      </c>
    </row>
    <row r="998" spans="7:8" x14ac:dyDescent="0.2">
      <c r="G998" s="1"/>
      <c r="H998">
        <f>Engagement_Summary[[#This Row],[New_Followers]]-Engagement_Summary[[#This Row],[Unfollows]]</f>
        <v>0</v>
      </c>
    </row>
    <row r="999" spans="7:8" x14ac:dyDescent="0.2">
      <c r="G999" s="1"/>
      <c r="H999">
        <f>Engagement_Summary[[#This Row],[New_Followers]]-Engagement_Summary[[#This Row],[Unfollows]]</f>
        <v>0</v>
      </c>
    </row>
    <row r="1000" spans="7:8" x14ac:dyDescent="0.2">
      <c r="G1000" s="1"/>
      <c r="H1000">
        <f>Engagement_Summary[[#This Row],[New_Followers]]-Engagement_Summary[[#This Row],[Unfollows]]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81DA-6B9F-6C41-9B68-439969DEC164}">
  <dimension ref="A1:G8"/>
  <sheetViews>
    <sheetView workbookViewId="0">
      <selection activeCell="E30" sqref="E30"/>
    </sheetView>
  </sheetViews>
  <sheetFormatPr baseColWidth="10" defaultRowHeight="16" x14ac:dyDescent="0.2"/>
  <cols>
    <col min="1" max="1" width="18" bestFit="1" customWidth="1"/>
    <col min="2" max="2" width="12.5" bestFit="1" customWidth="1"/>
    <col min="3" max="3" width="11.5" bestFit="1" customWidth="1"/>
    <col min="4" max="4" width="19.5" bestFit="1" customWidth="1"/>
    <col min="5" max="5" width="14.33203125" bestFit="1" customWidth="1"/>
    <col min="6" max="6" width="18" bestFit="1" customWidth="1"/>
    <col min="7" max="7" width="20" bestFit="1" customWidth="1"/>
  </cols>
  <sheetData>
    <row r="1" spans="1:7" x14ac:dyDescent="0.2">
      <c r="A1" t="s">
        <v>12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</row>
    <row r="2" spans="1:7" x14ac:dyDescent="0.2">
      <c r="A2" t="s">
        <v>370</v>
      </c>
      <c r="B2" s="1">
        <v>45458</v>
      </c>
      <c r="C2" s="1">
        <v>45488</v>
      </c>
      <c r="D2" t="s">
        <v>371</v>
      </c>
      <c r="E2">
        <v>150000</v>
      </c>
      <c r="F2" t="s">
        <v>372</v>
      </c>
      <c r="G2" t="s">
        <v>34</v>
      </c>
    </row>
    <row r="3" spans="1:7" x14ac:dyDescent="0.2">
      <c r="A3" t="s">
        <v>370</v>
      </c>
      <c r="B3" s="1">
        <v>45458</v>
      </c>
      <c r="C3" s="1">
        <v>45488</v>
      </c>
      <c r="D3" t="s">
        <v>371</v>
      </c>
      <c r="E3">
        <v>150000</v>
      </c>
      <c r="F3" t="s">
        <v>372</v>
      </c>
      <c r="G3" t="s">
        <v>23</v>
      </c>
    </row>
    <row r="4" spans="1:7" x14ac:dyDescent="0.2">
      <c r="A4" t="s">
        <v>373</v>
      </c>
      <c r="B4" s="1">
        <v>45566</v>
      </c>
      <c r="C4" s="1">
        <v>45596</v>
      </c>
      <c r="D4" t="s">
        <v>374</v>
      </c>
      <c r="E4">
        <v>200000</v>
      </c>
      <c r="F4" t="s">
        <v>375</v>
      </c>
      <c r="G4" t="s">
        <v>19</v>
      </c>
    </row>
    <row r="5" spans="1:7" x14ac:dyDescent="0.2">
      <c r="A5" t="s">
        <v>373</v>
      </c>
      <c r="B5" s="1">
        <v>45566</v>
      </c>
      <c r="C5" s="1">
        <v>45596</v>
      </c>
      <c r="D5" t="s">
        <v>374</v>
      </c>
      <c r="E5">
        <v>200000</v>
      </c>
      <c r="F5" t="s">
        <v>375</v>
      </c>
      <c r="G5" t="s">
        <v>57</v>
      </c>
    </row>
    <row r="6" spans="1:7" x14ac:dyDescent="0.2">
      <c r="A6" t="s">
        <v>376</v>
      </c>
      <c r="B6" s="1">
        <v>45651</v>
      </c>
      <c r="C6" s="1">
        <v>45667</v>
      </c>
      <c r="D6" t="s">
        <v>377</v>
      </c>
      <c r="E6">
        <v>250000</v>
      </c>
      <c r="F6" t="s">
        <v>378</v>
      </c>
      <c r="G6" t="s">
        <v>197</v>
      </c>
    </row>
    <row r="7" spans="1:7" x14ac:dyDescent="0.2">
      <c r="A7" t="s">
        <v>379</v>
      </c>
      <c r="B7" s="1">
        <v>45717</v>
      </c>
      <c r="C7" s="1">
        <v>45747</v>
      </c>
      <c r="D7" t="s">
        <v>380</v>
      </c>
      <c r="E7">
        <v>180000</v>
      </c>
      <c r="F7" t="s">
        <v>381</v>
      </c>
      <c r="G7" t="s">
        <v>25</v>
      </c>
    </row>
    <row r="8" spans="1:7" x14ac:dyDescent="0.2">
      <c r="A8" t="s">
        <v>379</v>
      </c>
      <c r="B8" s="1">
        <v>45717</v>
      </c>
      <c r="C8" s="1">
        <v>45747</v>
      </c>
      <c r="D8" t="s">
        <v>380</v>
      </c>
      <c r="E8">
        <v>180000</v>
      </c>
      <c r="F8" t="s">
        <v>381</v>
      </c>
      <c r="G8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7615-3383-1146-A70E-7DDC70B89A8E}">
  <dimension ref="A2:O34"/>
  <sheetViews>
    <sheetView workbookViewId="0">
      <selection activeCell="M6" sqref="M6"/>
    </sheetView>
  </sheetViews>
  <sheetFormatPr baseColWidth="10" defaultRowHeight="16" x14ac:dyDescent="0.2"/>
  <cols>
    <col min="2" max="2" width="25" customWidth="1"/>
    <col min="3" max="3" width="16" bestFit="1" customWidth="1"/>
    <col min="4" max="8" width="12.1640625" bestFit="1" customWidth="1"/>
    <col min="9" max="9" width="7" bestFit="1" customWidth="1"/>
    <col min="10" max="10" width="12.1640625" bestFit="1" customWidth="1"/>
    <col min="13" max="13" width="20" bestFit="1" customWidth="1"/>
    <col min="14" max="14" width="25" bestFit="1" customWidth="1"/>
  </cols>
  <sheetData>
    <row r="2" spans="2:14" x14ac:dyDescent="0.2">
      <c r="B2" s="6" t="s">
        <v>386</v>
      </c>
      <c r="C2" s="6" t="s">
        <v>387</v>
      </c>
      <c r="M2" s="6" t="s">
        <v>383</v>
      </c>
      <c r="N2" t="s">
        <v>386</v>
      </c>
    </row>
    <row r="3" spans="2:14" x14ac:dyDescent="0.2">
      <c r="B3" s="6" t="s">
        <v>383</v>
      </c>
      <c r="C3" t="s">
        <v>39</v>
      </c>
      <c r="D3" t="s">
        <v>44</v>
      </c>
      <c r="E3" t="s">
        <v>15</v>
      </c>
      <c r="F3" t="s">
        <v>32</v>
      </c>
      <c r="G3" t="s">
        <v>21</v>
      </c>
      <c r="H3" t="s">
        <v>59</v>
      </c>
      <c r="I3" t="s">
        <v>384</v>
      </c>
      <c r="J3" t="s">
        <v>385</v>
      </c>
      <c r="M3" s="7" t="s">
        <v>19</v>
      </c>
      <c r="N3" s="42">
        <v>0.11636073778371317</v>
      </c>
    </row>
    <row r="4" spans="2:14" x14ac:dyDescent="0.2">
      <c r="B4" s="7" t="s">
        <v>38</v>
      </c>
      <c r="C4">
        <v>0.11820589815604367</v>
      </c>
      <c r="D4">
        <v>0.11745424528332371</v>
      </c>
      <c r="E4">
        <v>0.10986859810690117</v>
      </c>
      <c r="F4">
        <v>0.15898977777988452</v>
      </c>
      <c r="G4">
        <v>0.11119518464556616</v>
      </c>
      <c r="H4">
        <v>0.12378368203470033</v>
      </c>
      <c r="J4">
        <v>0.12094203382654929</v>
      </c>
      <c r="M4" s="7" t="s">
        <v>25</v>
      </c>
      <c r="N4" s="42">
        <v>0.12589594685729985</v>
      </c>
    </row>
    <row r="5" spans="2:14" x14ac:dyDescent="0.2">
      <c r="B5" s="7" t="s">
        <v>31</v>
      </c>
      <c r="C5">
        <v>0.14358583471485059</v>
      </c>
      <c r="D5">
        <v>0.1347559439447894</v>
      </c>
      <c r="E5">
        <v>0.26004033206333965</v>
      </c>
      <c r="F5">
        <v>0.22896900915543306</v>
      </c>
      <c r="G5">
        <v>0.12920449104190176</v>
      </c>
      <c r="H5">
        <v>0.20035941736166224</v>
      </c>
      <c r="J5" s="24">
        <v>0.18531784517185629</v>
      </c>
      <c r="M5" s="7" t="s">
        <v>34</v>
      </c>
      <c r="N5" s="43">
        <v>0.15386132749296613</v>
      </c>
    </row>
    <row r="6" spans="2:14" x14ac:dyDescent="0.2">
      <c r="B6" s="7" t="s">
        <v>14</v>
      </c>
      <c r="C6">
        <v>0.14537054868993238</v>
      </c>
      <c r="D6">
        <v>0.14530582715944351</v>
      </c>
      <c r="E6">
        <v>0.12148739385254119</v>
      </c>
      <c r="F6">
        <v>0.18859716943319416</v>
      </c>
      <c r="G6">
        <v>0.11715705838352779</v>
      </c>
      <c r="H6">
        <v>0.11228206701664242</v>
      </c>
      <c r="J6">
        <v>0.13739368723551609</v>
      </c>
      <c r="M6" s="7" t="s">
        <v>17</v>
      </c>
      <c r="N6" s="43">
        <v>0.14123247081320281</v>
      </c>
    </row>
    <row r="7" spans="2:14" x14ac:dyDescent="0.2">
      <c r="B7" s="7" t="s">
        <v>27</v>
      </c>
      <c r="C7">
        <v>0.1904560601657018</v>
      </c>
      <c r="D7">
        <v>0.15035567844671383</v>
      </c>
      <c r="E7">
        <v>0.12032962245098325</v>
      </c>
      <c r="F7">
        <v>9.4965330348360799E-2</v>
      </c>
      <c r="G7">
        <v>0.11358051151819019</v>
      </c>
      <c r="H7">
        <v>0.12194862777363848</v>
      </c>
      <c r="J7">
        <v>0.13298735096853667</v>
      </c>
      <c r="M7" s="7" t="s">
        <v>197</v>
      </c>
      <c r="N7" s="42">
        <v>0.11481753670769271</v>
      </c>
    </row>
    <row r="8" spans="2:14" x14ac:dyDescent="0.2">
      <c r="B8" s="7" t="s">
        <v>384</v>
      </c>
      <c r="M8" s="7" t="s">
        <v>23</v>
      </c>
      <c r="N8" s="43">
        <v>0.14515321153500599</v>
      </c>
    </row>
    <row r="9" spans="2:14" x14ac:dyDescent="0.2">
      <c r="B9" s="7" t="s">
        <v>385</v>
      </c>
      <c r="C9">
        <v>0.14726325711841351</v>
      </c>
      <c r="D9">
        <v>0.13320104781588202</v>
      </c>
      <c r="E9">
        <v>0.15209713454460924</v>
      </c>
      <c r="F9">
        <v>0.18023669224095737</v>
      </c>
      <c r="G9">
        <v>0.11693453501108979</v>
      </c>
      <c r="H9">
        <v>0.14098986670477592</v>
      </c>
      <c r="J9">
        <v>0.14446302038520159</v>
      </c>
      <c r="M9" s="7" t="s">
        <v>384</v>
      </c>
      <c r="N9" s="42"/>
    </row>
    <row r="10" spans="2:14" x14ac:dyDescent="0.2">
      <c r="M10" s="7" t="s">
        <v>385</v>
      </c>
      <c r="N10" s="42">
        <v>0.14446302038520153</v>
      </c>
    </row>
    <row r="13" spans="2:14" x14ac:dyDescent="0.2">
      <c r="B13" s="6" t="s">
        <v>383</v>
      </c>
      <c r="C13" t="s">
        <v>388</v>
      </c>
    </row>
    <row r="14" spans="2:14" ht="19" x14ac:dyDescent="0.25">
      <c r="B14" s="7" t="s">
        <v>19</v>
      </c>
      <c r="C14">
        <v>161.19999999999999</v>
      </c>
      <c r="F14" s="33" t="s">
        <v>437</v>
      </c>
    </row>
    <row r="15" spans="2:14" x14ac:dyDescent="0.2">
      <c r="B15" s="7" t="s">
        <v>25</v>
      </c>
      <c r="C15">
        <v>114.85714285714286</v>
      </c>
    </row>
    <row r="16" spans="2:14" ht="19" x14ac:dyDescent="0.25">
      <c r="B16" s="7" t="s">
        <v>34</v>
      </c>
      <c r="C16">
        <v>151.52941176470588</v>
      </c>
      <c r="E16" s="33"/>
      <c r="F16" t="s">
        <v>431</v>
      </c>
    </row>
    <row r="17" spans="1:15" x14ac:dyDescent="0.2">
      <c r="B17" s="7" t="s">
        <v>17</v>
      </c>
      <c r="C17">
        <v>144.03883495145632</v>
      </c>
      <c r="F17" s="34" t="s">
        <v>432</v>
      </c>
    </row>
    <row r="18" spans="1:15" x14ac:dyDescent="0.2">
      <c r="B18" s="7" t="s">
        <v>197</v>
      </c>
      <c r="C18">
        <v>111.8</v>
      </c>
      <c r="F18" s="34" t="s">
        <v>433</v>
      </c>
    </row>
    <row r="19" spans="1:15" x14ac:dyDescent="0.2">
      <c r="B19" s="7" t="s">
        <v>23</v>
      </c>
      <c r="C19">
        <v>158.65420560747663</v>
      </c>
      <c r="F19" t="s">
        <v>434</v>
      </c>
    </row>
    <row r="20" spans="1:15" x14ac:dyDescent="0.2">
      <c r="B20" s="7" t="s">
        <v>384</v>
      </c>
      <c r="F20" s="34" t="s">
        <v>435</v>
      </c>
    </row>
    <row r="21" spans="1:15" x14ac:dyDescent="0.2">
      <c r="B21" s="7" t="s">
        <v>385</v>
      </c>
      <c r="C21">
        <v>150.58702064896755</v>
      </c>
    </row>
    <row r="24" spans="1:15" x14ac:dyDescent="0.2">
      <c r="A24" t="s">
        <v>391</v>
      </c>
      <c r="B24" s="7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389</v>
      </c>
      <c r="N24" t="s">
        <v>390</v>
      </c>
      <c r="O24" t="s">
        <v>382</v>
      </c>
    </row>
    <row r="25" spans="1:15" x14ac:dyDescent="0.2">
      <c r="A25">
        <v>1</v>
      </c>
      <c r="B25" s="8" t="s">
        <v>277</v>
      </c>
      <c r="C25" s="2" t="s">
        <v>31</v>
      </c>
      <c r="D25" s="9">
        <v>45445</v>
      </c>
      <c r="E25" s="2" t="s">
        <v>32</v>
      </c>
      <c r="F25" s="2" t="s">
        <v>33</v>
      </c>
      <c r="G25" s="2">
        <v>84</v>
      </c>
      <c r="H25" s="2">
        <v>897</v>
      </c>
      <c r="I25" s="2">
        <v>85</v>
      </c>
      <c r="J25" s="2">
        <v>588</v>
      </c>
      <c r="K25" s="2">
        <v>8</v>
      </c>
      <c r="L25" s="2">
        <v>12</v>
      </c>
      <c r="M25" s="2" t="s">
        <v>34</v>
      </c>
      <c r="N25" s="2" t="s">
        <v>57</v>
      </c>
      <c r="O25" s="4">
        <f>(Posts[[#This Row],[Likes]]+Posts[[#This Row],[Shares]]+Posts[[#This Row],[Comments]])/Posts[[#This Row],[Impressions]]</f>
        <v>0.28245270711024134</v>
      </c>
    </row>
    <row r="26" spans="1:15" x14ac:dyDescent="0.2">
      <c r="A26">
        <v>2</v>
      </c>
      <c r="B26" s="10" t="s">
        <v>112</v>
      </c>
      <c r="C26" s="3" t="s">
        <v>31</v>
      </c>
      <c r="D26" s="11">
        <v>45762</v>
      </c>
      <c r="E26" s="3" t="s">
        <v>15</v>
      </c>
      <c r="F26" s="3" t="s">
        <v>64</v>
      </c>
      <c r="G26" s="3">
        <v>103</v>
      </c>
      <c r="H26" s="3">
        <v>770</v>
      </c>
      <c r="I26" s="3">
        <v>19</v>
      </c>
      <c r="J26" s="3">
        <v>1030</v>
      </c>
      <c r="K26" s="3">
        <v>410</v>
      </c>
      <c r="L26" s="3">
        <v>262</v>
      </c>
      <c r="M26" s="3" t="s">
        <v>23</v>
      </c>
      <c r="N26" s="3" t="s">
        <v>35</v>
      </c>
      <c r="O26" s="5">
        <f>(Posts[[#This Row],[Likes]]+Posts[[#This Row],[Shares]]+Posts[[#This Row],[Comments]])/Posts[[#This Row],[Impressions]]</f>
        <v>0.28045655718611695</v>
      </c>
    </row>
    <row r="27" spans="1:15" x14ac:dyDescent="0.2">
      <c r="A27">
        <v>3</v>
      </c>
      <c r="B27" s="8" t="s">
        <v>289</v>
      </c>
      <c r="C27" s="2" t="s">
        <v>14</v>
      </c>
      <c r="D27" s="9">
        <v>45776</v>
      </c>
      <c r="E27" s="2" t="s">
        <v>32</v>
      </c>
      <c r="F27" s="2" t="s">
        <v>101</v>
      </c>
      <c r="G27" s="2">
        <v>249</v>
      </c>
      <c r="H27" s="2">
        <v>592</v>
      </c>
      <c r="I27" s="2">
        <v>230</v>
      </c>
      <c r="J27" s="2">
        <v>1494</v>
      </c>
      <c r="K27" s="2">
        <v>1044</v>
      </c>
      <c r="L27" s="2">
        <v>201</v>
      </c>
      <c r="M27" s="2" t="s">
        <v>34</v>
      </c>
      <c r="N27" s="2" t="s">
        <v>35</v>
      </c>
      <c r="O27" s="4">
        <f>(Posts[[#This Row],[Likes]]+Posts[[#This Row],[Shares]]+Posts[[#This Row],[Comments]])/Posts[[#This Row],[Impressions]]</f>
        <v>0.26876680752977333</v>
      </c>
    </row>
    <row r="28" spans="1:15" x14ac:dyDescent="0.2">
      <c r="A28">
        <v>4</v>
      </c>
      <c r="B28" s="10" t="s">
        <v>235</v>
      </c>
      <c r="C28" s="3" t="s">
        <v>31</v>
      </c>
      <c r="D28" s="11">
        <v>45603</v>
      </c>
      <c r="E28" s="3" t="s">
        <v>59</v>
      </c>
      <c r="F28" s="3" t="s">
        <v>66</v>
      </c>
      <c r="G28" s="3">
        <v>129</v>
      </c>
      <c r="H28" s="3">
        <v>643</v>
      </c>
      <c r="I28" s="3">
        <v>136</v>
      </c>
      <c r="J28" s="3">
        <v>1290</v>
      </c>
      <c r="K28" s="3">
        <v>839</v>
      </c>
      <c r="L28" s="3">
        <v>238</v>
      </c>
      <c r="M28" s="3" t="s">
        <v>23</v>
      </c>
      <c r="N28" s="3" t="s">
        <v>35</v>
      </c>
      <c r="O28" s="5">
        <f>(Posts[[#This Row],[Likes]]+Posts[[#This Row],[Shares]]+Posts[[#This Row],[Comments]])/Posts[[#This Row],[Impressions]]</f>
        <v>0.26297968397291194</v>
      </c>
    </row>
    <row r="29" spans="1:15" x14ac:dyDescent="0.2">
      <c r="A29">
        <v>5</v>
      </c>
      <c r="B29" s="8" t="s">
        <v>232</v>
      </c>
      <c r="C29" s="2" t="s">
        <v>31</v>
      </c>
      <c r="D29" s="9">
        <v>45674</v>
      </c>
      <c r="E29" s="2" t="s">
        <v>15</v>
      </c>
      <c r="F29" s="2" t="s">
        <v>64</v>
      </c>
      <c r="G29" s="2">
        <v>142</v>
      </c>
      <c r="H29" s="2">
        <v>784</v>
      </c>
      <c r="I29" s="2">
        <v>183</v>
      </c>
      <c r="J29" s="2">
        <v>1704</v>
      </c>
      <c r="K29" s="2">
        <v>995</v>
      </c>
      <c r="L29" s="2">
        <v>154</v>
      </c>
      <c r="M29" s="2" t="s">
        <v>17</v>
      </c>
      <c r="N29" s="2" t="s">
        <v>35</v>
      </c>
      <c r="O29" s="4">
        <f>(Posts[[#This Row],[Likes]]+Posts[[#This Row],[Shares]]+Posts[[#This Row],[Comments]])/Posts[[#This Row],[Impressions]]</f>
        <v>0.25869984981763572</v>
      </c>
    </row>
    <row r="30" spans="1:15" x14ac:dyDescent="0.2">
      <c r="A30">
        <v>6</v>
      </c>
      <c r="B30" s="10" t="s">
        <v>116</v>
      </c>
      <c r="C30" s="3" t="s">
        <v>14</v>
      </c>
      <c r="D30" s="11">
        <v>45618</v>
      </c>
      <c r="E30" s="3" t="s">
        <v>39</v>
      </c>
      <c r="F30" s="3" t="s">
        <v>42</v>
      </c>
      <c r="G30" s="3">
        <v>53</v>
      </c>
      <c r="H30" s="3">
        <v>81</v>
      </c>
      <c r="I30" s="3">
        <v>379</v>
      </c>
      <c r="J30" s="3">
        <v>954</v>
      </c>
      <c r="K30" s="3">
        <v>7</v>
      </c>
      <c r="L30" s="3">
        <v>148</v>
      </c>
      <c r="M30" s="3" t="s">
        <v>23</v>
      </c>
      <c r="N30" s="3" t="s">
        <v>29</v>
      </c>
      <c r="O30" s="5">
        <f>(Posts[[#This Row],[Likes]]+Posts[[#This Row],[Shares]]+Posts[[#This Row],[Comments]])/Posts[[#This Row],[Impressions]]</f>
        <v>0.25771055753262156</v>
      </c>
    </row>
    <row r="31" spans="1:15" x14ac:dyDescent="0.2">
      <c r="A31">
        <v>7</v>
      </c>
      <c r="B31" s="8" t="s">
        <v>321</v>
      </c>
      <c r="C31" s="2" t="s">
        <v>14</v>
      </c>
      <c r="D31" s="9">
        <v>45687</v>
      </c>
      <c r="E31" s="2" t="s">
        <v>44</v>
      </c>
      <c r="F31" s="2" t="s">
        <v>91</v>
      </c>
      <c r="G31" s="2">
        <v>59</v>
      </c>
      <c r="H31" s="2">
        <v>163</v>
      </c>
      <c r="I31" s="2">
        <v>93</v>
      </c>
      <c r="J31" s="2">
        <v>590</v>
      </c>
      <c r="K31" s="2">
        <v>475</v>
      </c>
      <c r="L31" s="2">
        <v>293</v>
      </c>
      <c r="M31" s="2" t="s">
        <v>23</v>
      </c>
      <c r="N31" s="2" t="s">
        <v>24</v>
      </c>
      <c r="O31" s="4">
        <f>(Posts[[#This Row],[Likes]]+Posts[[#This Row],[Shares]]+Posts[[#This Row],[Comments]])/Posts[[#This Row],[Impressions]]</f>
        <v>0.25701459034792368</v>
      </c>
    </row>
    <row r="32" spans="1:15" x14ac:dyDescent="0.2">
      <c r="A32">
        <v>8</v>
      </c>
      <c r="B32" s="10" t="s">
        <v>200</v>
      </c>
      <c r="C32" s="3" t="s">
        <v>27</v>
      </c>
      <c r="D32" s="11">
        <v>45567</v>
      </c>
      <c r="E32" s="3" t="s">
        <v>39</v>
      </c>
      <c r="F32" s="3" t="s">
        <v>54</v>
      </c>
      <c r="G32" s="3">
        <v>80</v>
      </c>
      <c r="H32" s="3">
        <v>362</v>
      </c>
      <c r="I32" s="3">
        <v>80</v>
      </c>
      <c r="J32" s="3">
        <v>1040</v>
      </c>
      <c r="K32" s="3">
        <v>349</v>
      </c>
      <c r="L32" s="3">
        <v>117</v>
      </c>
      <c r="M32" s="3" t="s">
        <v>23</v>
      </c>
      <c r="N32" s="3" t="s">
        <v>29</v>
      </c>
      <c r="O32" s="5">
        <f>(Posts[[#This Row],[Likes]]+Posts[[#This Row],[Shares]]+Posts[[#This Row],[Comments]])/Posts[[#This Row],[Impressions]]</f>
        <v>0.25537047673750718</v>
      </c>
    </row>
    <row r="33" spans="1:15" x14ac:dyDescent="0.2">
      <c r="A33">
        <v>9</v>
      </c>
      <c r="B33" s="8" t="s">
        <v>267</v>
      </c>
      <c r="C33" s="2" t="s">
        <v>27</v>
      </c>
      <c r="D33" s="9">
        <v>45707</v>
      </c>
      <c r="E33" s="2" t="s">
        <v>44</v>
      </c>
      <c r="F33" s="2" t="s">
        <v>45</v>
      </c>
      <c r="G33" s="2">
        <v>257</v>
      </c>
      <c r="H33" s="2">
        <v>966</v>
      </c>
      <c r="I33" s="2">
        <v>398</v>
      </c>
      <c r="J33" s="2">
        <v>3341</v>
      </c>
      <c r="K33" s="2">
        <v>2753</v>
      </c>
      <c r="L33" s="2">
        <v>287</v>
      </c>
      <c r="M33" s="2" t="s">
        <v>17</v>
      </c>
      <c r="N33" s="2" t="s">
        <v>18</v>
      </c>
      <c r="O33" s="4">
        <f>(Posts[[#This Row],[Likes]]+Posts[[#This Row],[Shares]]+Posts[[#This Row],[Comments]])/Posts[[#This Row],[Impressions]]</f>
        <v>0.25279701651571657</v>
      </c>
    </row>
    <row r="34" spans="1:15" x14ac:dyDescent="0.2">
      <c r="A34">
        <v>10</v>
      </c>
      <c r="B34" s="10" t="s">
        <v>124</v>
      </c>
      <c r="C34" s="3" t="s">
        <v>38</v>
      </c>
      <c r="D34" s="11">
        <v>45749</v>
      </c>
      <c r="E34" s="3" t="s">
        <v>59</v>
      </c>
      <c r="F34" s="3" t="s">
        <v>60</v>
      </c>
      <c r="G34" s="3">
        <v>199</v>
      </c>
      <c r="H34" s="3">
        <v>772</v>
      </c>
      <c r="I34" s="3">
        <v>400</v>
      </c>
      <c r="J34" s="3">
        <v>3582</v>
      </c>
      <c r="K34" s="3">
        <v>2988</v>
      </c>
      <c r="L34" s="3">
        <v>43</v>
      </c>
      <c r="M34" s="3" t="s">
        <v>23</v>
      </c>
      <c r="N34" s="3" t="s">
        <v>57</v>
      </c>
      <c r="O34" s="5">
        <f>(Posts[[#This Row],[Likes]]+Posts[[#This Row],[Shares]]+Posts[[#This Row],[Comments]])/Posts[[#This Row],[Impressions]]</f>
        <v>0.25062082139446035</v>
      </c>
    </row>
  </sheetData>
  <conditionalFormatting pivot="1" sqref="C14">
    <cfRule type="top10" dxfId="26" priority="2" rank="1"/>
  </conditionalFormatting>
  <conditionalFormatting pivot="1" sqref="C14:C20">
    <cfRule type="top10" dxfId="25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795C-C8CA-D749-9C7A-525CC62F7A23}">
  <dimension ref="A1:L37"/>
  <sheetViews>
    <sheetView topLeftCell="A16" workbookViewId="0">
      <selection activeCell="I19" sqref="I19"/>
    </sheetView>
  </sheetViews>
  <sheetFormatPr baseColWidth="10" defaultRowHeight="16" x14ac:dyDescent="0.2"/>
  <cols>
    <col min="1" max="1" width="13" bestFit="1" customWidth="1"/>
    <col min="2" max="2" width="26.6640625" customWidth="1"/>
    <col min="3" max="3" width="15.83203125" customWidth="1"/>
    <col min="4" max="4" width="18" customWidth="1"/>
    <col min="5" max="7" width="12.1640625" bestFit="1" customWidth="1"/>
    <col min="8" max="8" width="7" bestFit="1" customWidth="1"/>
    <col min="9" max="9" width="12.1640625" bestFit="1" customWidth="1"/>
    <col min="12" max="12" width="19.33203125" customWidth="1"/>
    <col min="13" max="13" width="13" bestFit="1" customWidth="1"/>
    <col min="14" max="14" width="19.83203125" bestFit="1" customWidth="1"/>
  </cols>
  <sheetData>
    <row r="1" spans="1:12" x14ac:dyDescent="0.2">
      <c r="A1" s="6" t="s">
        <v>386</v>
      </c>
      <c r="B1" s="6" t="s">
        <v>387</v>
      </c>
    </row>
    <row r="2" spans="1:12" x14ac:dyDescent="0.2">
      <c r="A2" s="6" t="s">
        <v>383</v>
      </c>
      <c r="B2" t="s">
        <v>39</v>
      </c>
      <c r="C2" t="s">
        <v>44</v>
      </c>
      <c r="D2" t="s">
        <v>15</v>
      </c>
      <c r="E2" t="s">
        <v>32</v>
      </c>
      <c r="F2" t="s">
        <v>21</v>
      </c>
      <c r="G2" t="s">
        <v>59</v>
      </c>
      <c r="H2" t="s">
        <v>384</v>
      </c>
      <c r="I2" t="s">
        <v>385</v>
      </c>
    </row>
    <row r="3" spans="1:12" x14ac:dyDescent="0.2">
      <c r="A3" s="7" t="s">
        <v>38</v>
      </c>
      <c r="B3">
        <v>0.11820589815604367</v>
      </c>
      <c r="C3">
        <v>0.11745424528332371</v>
      </c>
      <c r="D3">
        <v>0.10986859810690117</v>
      </c>
      <c r="E3">
        <v>0.15898977777988452</v>
      </c>
      <c r="F3">
        <v>0.11119518464556616</v>
      </c>
      <c r="G3">
        <v>0.12378368203470033</v>
      </c>
      <c r="I3">
        <v>0.12094203382654929</v>
      </c>
    </row>
    <row r="4" spans="1:12" x14ac:dyDescent="0.2">
      <c r="A4" s="7" t="s">
        <v>31</v>
      </c>
      <c r="B4">
        <v>0.14358583471485059</v>
      </c>
      <c r="C4">
        <v>0.1347559439447894</v>
      </c>
      <c r="D4">
        <v>0.26004033206333965</v>
      </c>
      <c r="E4">
        <v>0.22896900915543306</v>
      </c>
      <c r="F4">
        <v>0.12920449104190176</v>
      </c>
      <c r="G4">
        <v>0.20035941736166224</v>
      </c>
      <c r="I4" s="24">
        <v>0.18531784517185629</v>
      </c>
      <c r="K4" s="6" t="s">
        <v>383</v>
      </c>
      <c r="L4" t="s">
        <v>394</v>
      </c>
    </row>
    <row r="5" spans="1:12" x14ac:dyDescent="0.2">
      <c r="A5" s="7" t="s">
        <v>14</v>
      </c>
      <c r="B5">
        <v>0.14537054868993238</v>
      </c>
      <c r="C5">
        <v>0.14530582715944351</v>
      </c>
      <c r="D5">
        <v>0.12148739385254119</v>
      </c>
      <c r="E5">
        <v>0.18859716943319416</v>
      </c>
      <c r="F5">
        <v>0.11715705838352779</v>
      </c>
      <c r="G5">
        <v>0.11228206701664242</v>
      </c>
      <c r="I5">
        <v>0.13739368723551609</v>
      </c>
      <c r="K5" s="7" t="s">
        <v>38</v>
      </c>
      <c r="L5">
        <v>50862</v>
      </c>
    </row>
    <row r="6" spans="1:12" x14ac:dyDescent="0.2">
      <c r="A6" s="7" t="s">
        <v>27</v>
      </c>
      <c r="B6">
        <v>0.1904560601657018</v>
      </c>
      <c r="C6">
        <v>0.15035567844671383</v>
      </c>
      <c r="D6">
        <v>0.12032962245098325</v>
      </c>
      <c r="E6">
        <v>9.4965330348360799E-2</v>
      </c>
      <c r="F6">
        <v>0.11358051151819019</v>
      </c>
      <c r="G6">
        <v>0.12194862777363848</v>
      </c>
      <c r="I6">
        <v>0.13298735096853667</v>
      </c>
      <c r="K6" s="7" t="s">
        <v>31</v>
      </c>
      <c r="L6" s="24">
        <v>58311</v>
      </c>
    </row>
    <row r="7" spans="1:12" x14ac:dyDescent="0.2">
      <c r="A7" s="7" t="s">
        <v>384</v>
      </c>
      <c r="K7" s="7" t="s">
        <v>14</v>
      </c>
      <c r="L7">
        <v>53484</v>
      </c>
    </row>
    <row r="8" spans="1:12" x14ac:dyDescent="0.2">
      <c r="A8" s="7" t="s">
        <v>385</v>
      </c>
      <c r="B8">
        <v>0.14726325711841351</v>
      </c>
      <c r="C8">
        <v>0.13320104781588202</v>
      </c>
      <c r="D8" s="24">
        <v>0.15209713454460924</v>
      </c>
      <c r="E8" s="24">
        <v>0.18023669224095737</v>
      </c>
      <c r="F8">
        <v>0.11693453501108979</v>
      </c>
      <c r="G8">
        <v>0.14098986670477592</v>
      </c>
      <c r="I8">
        <v>0.14446302038520159</v>
      </c>
      <c r="K8" s="7" t="s">
        <v>27</v>
      </c>
      <c r="L8">
        <v>47471</v>
      </c>
    </row>
    <row r="9" spans="1:12" x14ac:dyDescent="0.2">
      <c r="K9" s="7" t="s">
        <v>384</v>
      </c>
    </row>
    <row r="10" spans="1:12" x14ac:dyDescent="0.2">
      <c r="K10" s="7" t="s">
        <v>385</v>
      </c>
      <c r="L10">
        <v>210128</v>
      </c>
    </row>
    <row r="14" spans="1:12" ht="19" x14ac:dyDescent="0.25">
      <c r="I14" s="33" t="s">
        <v>436</v>
      </c>
    </row>
    <row r="16" spans="1:12" x14ac:dyDescent="0.2">
      <c r="I16" s="34" t="s">
        <v>438</v>
      </c>
    </row>
    <row r="17" spans="1:9" x14ac:dyDescent="0.2">
      <c r="I17" s="34" t="s">
        <v>439</v>
      </c>
    </row>
    <row r="18" spans="1:9" x14ac:dyDescent="0.2">
      <c r="I18" t="s">
        <v>453</v>
      </c>
    </row>
    <row r="19" spans="1:9" x14ac:dyDescent="0.2">
      <c r="I19" s="34" t="s">
        <v>440</v>
      </c>
    </row>
    <row r="31" spans="1:9" x14ac:dyDescent="0.2">
      <c r="A31" s="6" t="s">
        <v>383</v>
      </c>
      <c r="B31" t="s">
        <v>397</v>
      </c>
      <c r="C31" s="6" t="s">
        <v>383</v>
      </c>
      <c r="D31" t="s">
        <v>396</v>
      </c>
    </row>
    <row r="32" spans="1:9" x14ac:dyDescent="0.2">
      <c r="A32" s="7" t="s">
        <v>38</v>
      </c>
      <c r="B32">
        <v>5.6486000000000001</v>
      </c>
      <c r="C32" s="7" t="s">
        <v>38</v>
      </c>
      <c r="D32">
        <v>27590.78</v>
      </c>
    </row>
    <row r="33" spans="1:4" x14ac:dyDescent="0.2">
      <c r="A33" s="7" t="s">
        <v>31</v>
      </c>
      <c r="B33">
        <v>5.7156000000000002</v>
      </c>
      <c r="C33" s="7" t="s">
        <v>31</v>
      </c>
      <c r="D33">
        <v>23287.46</v>
      </c>
    </row>
    <row r="34" spans="1:4" x14ac:dyDescent="0.2">
      <c r="A34" s="7" t="s">
        <v>14</v>
      </c>
      <c r="B34">
        <v>5.6558000000000002</v>
      </c>
      <c r="C34" s="7" t="s">
        <v>14</v>
      </c>
      <c r="D34">
        <v>21207.14</v>
      </c>
    </row>
    <row r="35" spans="1:4" x14ac:dyDescent="0.2">
      <c r="A35" s="7" t="s">
        <v>27</v>
      </c>
      <c r="B35">
        <v>5.5587999999999997</v>
      </c>
      <c r="C35" s="7" t="s">
        <v>27</v>
      </c>
      <c r="D35">
        <v>24572.94</v>
      </c>
    </row>
    <row r="36" spans="1:4" x14ac:dyDescent="0.2">
      <c r="A36" s="7" t="s">
        <v>384</v>
      </c>
      <c r="C36" s="7" t="s">
        <v>384</v>
      </c>
    </row>
    <row r="37" spans="1:4" x14ac:dyDescent="0.2">
      <c r="A37" s="7" t="s">
        <v>385</v>
      </c>
      <c r="B37">
        <v>5.6446999999999994</v>
      </c>
      <c r="C37" s="7" t="s">
        <v>385</v>
      </c>
      <c r="D37">
        <v>24164.58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43C7-36EF-C947-8869-B7D961B32023}">
  <dimension ref="A1:K41"/>
  <sheetViews>
    <sheetView topLeftCell="A18" workbookViewId="0">
      <selection activeCell="E38" sqref="E38"/>
    </sheetView>
  </sheetViews>
  <sheetFormatPr baseColWidth="10" defaultRowHeight="16" x14ac:dyDescent="0.2"/>
  <cols>
    <col min="1" max="1" width="20" bestFit="1" customWidth="1"/>
    <col min="2" max="2" width="21.1640625" bestFit="1" customWidth="1"/>
    <col min="3" max="7" width="12.1640625" bestFit="1" customWidth="1"/>
    <col min="8" max="8" width="7" bestFit="1" customWidth="1"/>
    <col min="9" max="9" width="12.1640625" bestFit="1" customWidth="1"/>
  </cols>
  <sheetData>
    <row r="1" spans="1:2" x14ac:dyDescent="0.2">
      <c r="A1" s="6" t="s">
        <v>383</v>
      </c>
      <c r="B1" t="s">
        <v>398</v>
      </c>
    </row>
    <row r="2" spans="1:2" x14ac:dyDescent="0.2">
      <c r="A2" s="7" t="s">
        <v>19</v>
      </c>
      <c r="B2">
        <v>15</v>
      </c>
    </row>
    <row r="3" spans="1:2" x14ac:dyDescent="0.2">
      <c r="A3" s="7" t="s">
        <v>25</v>
      </c>
      <c r="B3">
        <v>7</v>
      </c>
    </row>
    <row r="4" spans="1:2" x14ac:dyDescent="0.2">
      <c r="A4" s="7" t="s">
        <v>34</v>
      </c>
      <c r="B4" s="24">
        <v>102</v>
      </c>
    </row>
    <row r="5" spans="1:2" x14ac:dyDescent="0.2">
      <c r="A5" s="7" t="s">
        <v>17</v>
      </c>
      <c r="B5" s="24">
        <v>103</v>
      </c>
    </row>
    <row r="6" spans="1:2" x14ac:dyDescent="0.2">
      <c r="A6" s="7" t="s">
        <v>197</v>
      </c>
      <c r="B6">
        <v>5</v>
      </c>
    </row>
    <row r="7" spans="1:2" x14ac:dyDescent="0.2">
      <c r="A7" s="7" t="s">
        <v>23</v>
      </c>
      <c r="B7" s="24">
        <v>107</v>
      </c>
    </row>
    <row r="8" spans="1:2" x14ac:dyDescent="0.2">
      <c r="A8" s="7" t="s">
        <v>384</v>
      </c>
    </row>
    <row r="9" spans="1:2" x14ac:dyDescent="0.2">
      <c r="A9" s="7" t="s">
        <v>385</v>
      </c>
      <c r="B9">
        <v>339</v>
      </c>
    </row>
    <row r="12" spans="1:2" x14ac:dyDescent="0.2">
      <c r="A12" s="6" t="s">
        <v>383</v>
      </c>
      <c r="B12" t="s">
        <v>386</v>
      </c>
    </row>
    <row r="13" spans="1:2" x14ac:dyDescent="0.2">
      <c r="A13" s="7" t="s">
        <v>19</v>
      </c>
      <c r="B13">
        <v>0.11636073778371317</v>
      </c>
    </row>
    <row r="14" spans="1:2" x14ac:dyDescent="0.2">
      <c r="A14" s="7" t="s">
        <v>25</v>
      </c>
      <c r="B14">
        <v>0.12589594685729985</v>
      </c>
    </row>
    <row r="15" spans="1:2" x14ac:dyDescent="0.2">
      <c r="A15" s="7" t="s">
        <v>34</v>
      </c>
      <c r="B15" s="24">
        <v>0.15386132749296613</v>
      </c>
    </row>
    <row r="16" spans="1:2" x14ac:dyDescent="0.2">
      <c r="A16" s="7" t="s">
        <v>17</v>
      </c>
      <c r="B16">
        <v>0.14123247081320281</v>
      </c>
    </row>
    <row r="17" spans="1:11" x14ac:dyDescent="0.2">
      <c r="A17" s="7" t="s">
        <v>197</v>
      </c>
      <c r="B17">
        <v>0.11481753670769271</v>
      </c>
    </row>
    <row r="18" spans="1:11" x14ac:dyDescent="0.2">
      <c r="A18" s="7" t="s">
        <v>23</v>
      </c>
      <c r="B18">
        <v>0.14515321153500599</v>
      </c>
    </row>
    <row r="19" spans="1:11" x14ac:dyDescent="0.2">
      <c r="A19" s="7" t="s">
        <v>384</v>
      </c>
    </row>
    <row r="20" spans="1:11" x14ac:dyDescent="0.2">
      <c r="A20" s="7" t="s">
        <v>385</v>
      </c>
      <c r="B20">
        <v>0.14446302038520153</v>
      </c>
    </row>
    <row r="22" spans="1:11" x14ac:dyDescent="0.2">
      <c r="A22" s="6" t="s">
        <v>386</v>
      </c>
      <c r="B22" s="6" t="s">
        <v>387</v>
      </c>
    </row>
    <row r="23" spans="1:11" x14ac:dyDescent="0.2">
      <c r="A23" s="6" t="s">
        <v>383</v>
      </c>
      <c r="B23" t="s">
        <v>39</v>
      </c>
      <c r="C23" t="s">
        <v>44</v>
      </c>
      <c r="D23" t="s">
        <v>15</v>
      </c>
      <c r="E23" t="s">
        <v>32</v>
      </c>
      <c r="F23" t="s">
        <v>21</v>
      </c>
      <c r="G23" t="s">
        <v>59</v>
      </c>
      <c r="H23" t="s">
        <v>384</v>
      </c>
      <c r="I23" t="s">
        <v>385</v>
      </c>
    </row>
    <row r="24" spans="1:11" ht="19" x14ac:dyDescent="0.25">
      <c r="A24" s="7" t="s">
        <v>19</v>
      </c>
      <c r="B24">
        <v>0.11148541630542699</v>
      </c>
      <c r="C24">
        <v>0.1002031456347712</v>
      </c>
      <c r="D24">
        <v>0.15356367233776949</v>
      </c>
      <c r="F24">
        <v>0.13550866966869901</v>
      </c>
      <c r="G24">
        <v>0.10199357448103066</v>
      </c>
      <c r="I24">
        <v>0.11636073778371316</v>
      </c>
      <c r="K24" s="33" t="s">
        <v>437</v>
      </c>
    </row>
    <row r="25" spans="1:11" x14ac:dyDescent="0.2">
      <c r="A25" s="7" t="s">
        <v>25</v>
      </c>
      <c r="B25">
        <v>0.22659584966641141</v>
      </c>
      <c r="C25">
        <v>7.9915048543689318E-2</v>
      </c>
      <c r="D25">
        <v>0.11879910213243547</v>
      </c>
      <c r="E25">
        <v>8.7752275425405618E-2</v>
      </c>
      <c r="F25">
        <v>7.0806751283372868E-2</v>
      </c>
      <c r="I25">
        <v>0.12589594685729985</v>
      </c>
    </row>
    <row r="26" spans="1:11" x14ac:dyDescent="0.2">
      <c r="A26" s="7" t="s">
        <v>34</v>
      </c>
      <c r="B26">
        <v>0.13840668692245353</v>
      </c>
      <c r="C26">
        <v>0.11409102842201806</v>
      </c>
      <c r="D26">
        <v>0.14114472402726921</v>
      </c>
      <c r="E26">
        <v>0.28007598074563467</v>
      </c>
      <c r="F26">
        <v>0.12133551160529493</v>
      </c>
      <c r="G26">
        <v>0.1386367509975199</v>
      </c>
      <c r="I26">
        <v>0.15386132749296619</v>
      </c>
      <c r="K26" t="s">
        <v>441</v>
      </c>
    </row>
    <row r="27" spans="1:11" x14ac:dyDescent="0.2">
      <c r="A27" s="7" t="s">
        <v>17</v>
      </c>
      <c r="B27">
        <v>0.13825988747333962</v>
      </c>
      <c r="C27">
        <v>0.16517221344454286</v>
      </c>
      <c r="D27">
        <v>0.15359246793013309</v>
      </c>
      <c r="E27">
        <v>0.138737646116566</v>
      </c>
      <c r="F27">
        <v>9.8224306700013142E-2</v>
      </c>
      <c r="G27">
        <v>0.13371562643383825</v>
      </c>
      <c r="I27">
        <v>0.14123247081320275</v>
      </c>
      <c r="K27" t="s">
        <v>442</v>
      </c>
    </row>
    <row r="28" spans="1:11" x14ac:dyDescent="0.2">
      <c r="A28" s="7" t="s">
        <v>197</v>
      </c>
      <c r="B28">
        <v>0.14316214319138981</v>
      </c>
      <c r="C28">
        <v>0.15571802706241816</v>
      </c>
      <c r="D28">
        <v>0.11143487163332809</v>
      </c>
      <c r="G28">
        <v>8.1886320825663758E-2</v>
      </c>
      <c r="I28">
        <v>0.11481753670769272</v>
      </c>
      <c r="K28" t="s">
        <v>443</v>
      </c>
    </row>
    <row r="29" spans="1:11" x14ac:dyDescent="0.2">
      <c r="A29" s="7" t="s">
        <v>23</v>
      </c>
      <c r="B29">
        <v>0.15971978474698467</v>
      </c>
      <c r="C29">
        <v>0.12814370935290217</v>
      </c>
      <c r="D29">
        <v>0.17065518132228841</v>
      </c>
      <c r="E29">
        <v>0.12053149866630324</v>
      </c>
      <c r="F29">
        <v>0.12912461340499298</v>
      </c>
      <c r="G29">
        <v>0.16226718317495517</v>
      </c>
      <c r="I29">
        <v>0.14515321153500596</v>
      </c>
      <c r="K29" s="34" t="s">
        <v>444</v>
      </c>
    </row>
    <row r="30" spans="1:11" x14ac:dyDescent="0.2">
      <c r="A30" s="7" t="s">
        <v>384</v>
      </c>
      <c r="K30" t="s">
        <v>454</v>
      </c>
    </row>
    <row r="31" spans="1:11" x14ac:dyDescent="0.2">
      <c r="A31" s="7" t="s">
        <v>385</v>
      </c>
      <c r="B31">
        <v>0.14726325711841351</v>
      </c>
      <c r="C31">
        <v>0.13320104781588202</v>
      </c>
      <c r="D31">
        <v>0.15209713454460927</v>
      </c>
      <c r="E31" s="24">
        <v>0.18023669224095737</v>
      </c>
      <c r="F31">
        <v>0.11693453501108982</v>
      </c>
      <c r="G31">
        <v>0.14098986670477598</v>
      </c>
      <c r="I31">
        <v>0.14446302038520159</v>
      </c>
      <c r="K31" t="s">
        <v>455</v>
      </c>
    </row>
    <row r="32" spans="1:11" x14ac:dyDescent="0.2">
      <c r="K32" t="s">
        <v>457</v>
      </c>
    </row>
    <row r="33" spans="1:11" x14ac:dyDescent="0.2">
      <c r="K33" t="s">
        <v>456</v>
      </c>
    </row>
    <row r="34" spans="1:11" x14ac:dyDescent="0.2">
      <c r="A34" s="6" t="s">
        <v>386</v>
      </c>
      <c r="B34" s="6" t="s">
        <v>387</v>
      </c>
    </row>
    <row r="35" spans="1:11" x14ac:dyDescent="0.2">
      <c r="A35" s="6" t="s">
        <v>383</v>
      </c>
      <c r="B35" t="s">
        <v>39</v>
      </c>
      <c r="C35" t="s">
        <v>44</v>
      </c>
      <c r="D35" t="s">
        <v>15</v>
      </c>
      <c r="E35" t="s">
        <v>32</v>
      </c>
      <c r="F35" t="s">
        <v>21</v>
      </c>
      <c r="G35" t="s">
        <v>59</v>
      </c>
      <c r="H35" t="s">
        <v>384</v>
      </c>
      <c r="I35" t="s">
        <v>385</v>
      </c>
    </row>
    <row r="36" spans="1:11" x14ac:dyDescent="0.2">
      <c r="A36" s="7" t="s">
        <v>38</v>
      </c>
      <c r="B36">
        <v>0.11820589815604367</v>
      </c>
      <c r="C36">
        <v>0.11745424528332371</v>
      </c>
      <c r="D36">
        <v>0.10986859810690117</v>
      </c>
      <c r="E36" s="44">
        <v>0.15898977777988452</v>
      </c>
      <c r="F36">
        <v>0.11119518464556616</v>
      </c>
      <c r="G36">
        <v>0.12378368203470033</v>
      </c>
      <c r="I36">
        <v>0.12094203382654929</v>
      </c>
    </row>
    <row r="37" spans="1:11" x14ac:dyDescent="0.2">
      <c r="A37" s="7" t="s">
        <v>31</v>
      </c>
      <c r="B37">
        <v>0.14358583471485059</v>
      </c>
      <c r="C37">
        <v>0.1347559439447894</v>
      </c>
      <c r="D37" s="44">
        <v>0.26004033206333965</v>
      </c>
      <c r="E37" s="25">
        <v>0.22896900915543306</v>
      </c>
      <c r="F37">
        <v>0.12920449104190176</v>
      </c>
      <c r="G37">
        <v>0.20035941736166224</v>
      </c>
      <c r="I37" s="25">
        <v>0.18531784517185629</v>
      </c>
    </row>
    <row r="38" spans="1:11" x14ac:dyDescent="0.2">
      <c r="A38" s="7" t="s">
        <v>14</v>
      </c>
      <c r="B38">
        <v>0.14537054868993238</v>
      </c>
      <c r="C38">
        <v>0.14530582715944351</v>
      </c>
      <c r="D38">
        <v>0.12148739385254119</v>
      </c>
      <c r="E38" s="44">
        <v>0.18859716943319416</v>
      </c>
      <c r="F38">
        <v>0.11715705838352779</v>
      </c>
      <c r="G38">
        <v>0.11228206701664242</v>
      </c>
      <c r="I38">
        <v>0.13739368723551609</v>
      </c>
    </row>
    <row r="39" spans="1:11" x14ac:dyDescent="0.2">
      <c r="A39" s="7" t="s">
        <v>27</v>
      </c>
      <c r="B39" s="44">
        <v>0.1904560601657018</v>
      </c>
      <c r="C39">
        <v>0.15035567844671383</v>
      </c>
      <c r="D39">
        <v>0.12032962245098325</v>
      </c>
      <c r="E39">
        <v>9.4965330348360799E-2</v>
      </c>
      <c r="F39">
        <v>0.11358051151819019</v>
      </c>
      <c r="G39">
        <v>0.12194862777363848</v>
      </c>
      <c r="I39">
        <v>0.13298735096853667</v>
      </c>
    </row>
    <row r="40" spans="1:11" x14ac:dyDescent="0.2">
      <c r="A40" s="7" t="s">
        <v>384</v>
      </c>
    </row>
    <row r="41" spans="1:11" x14ac:dyDescent="0.2">
      <c r="A41" s="7" t="s">
        <v>385</v>
      </c>
      <c r="B41">
        <v>0.14726325711841351</v>
      </c>
      <c r="C41">
        <v>0.13320104781588202</v>
      </c>
      <c r="D41">
        <v>0.15209713454460924</v>
      </c>
      <c r="E41">
        <v>0.18023669224095737</v>
      </c>
      <c r="F41">
        <v>0.11693453501108979</v>
      </c>
      <c r="G41">
        <v>0.14098986670477592</v>
      </c>
      <c r="I41">
        <v>0.14446302038520159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D98A-5C6B-1D4E-A54D-C6430C4EC198}">
  <dimension ref="A2:J54"/>
  <sheetViews>
    <sheetView tabSelected="1" topLeftCell="A21" workbookViewId="0">
      <selection activeCell="M24" sqref="M24"/>
    </sheetView>
  </sheetViews>
  <sheetFormatPr baseColWidth="10" defaultRowHeight="16" x14ac:dyDescent="0.2"/>
  <cols>
    <col min="1" max="1" width="13" bestFit="1" customWidth="1"/>
    <col min="2" max="2" width="15.1640625" bestFit="1" customWidth="1"/>
    <col min="3" max="3" width="12.83203125" bestFit="1" customWidth="1"/>
    <col min="4" max="4" width="16.6640625" bestFit="1" customWidth="1"/>
    <col min="5" max="5" width="17.6640625" bestFit="1" customWidth="1"/>
    <col min="6" max="6" width="12.33203125" bestFit="1" customWidth="1"/>
    <col min="7" max="7" width="12.5" bestFit="1" customWidth="1"/>
    <col min="9" max="9" width="21.5" customWidth="1"/>
  </cols>
  <sheetData>
    <row r="2" spans="1:9" ht="19" x14ac:dyDescent="0.25">
      <c r="A2" s="6" t="s">
        <v>383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I2" s="33" t="s">
        <v>437</v>
      </c>
    </row>
    <row r="3" spans="1:9" x14ac:dyDescent="0.2">
      <c r="A3" s="7" t="s">
        <v>18</v>
      </c>
      <c r="B3">
        <v>154613</v>
      </c>
      <c r="C3">
        <v>26011</v>
      </c>
      <c r="D3">
        <v>13276</v>
      </c>
      <c r="E3">
        <v>2090555</v>
      </c>
      <c r="F3">
        <v>2063801</v>
      </c>
      <c r="G3">
        <v>7094</v>
      </c>
    </row>
    <row r="4" spans="1:9" x14ac:dyDescent="0.2">
      <c r="A4" s="7" t="s">
        <v>29</v>
      </c>
      <c r="B4">
        <v>201400</v>
      </c>
      <c r="C4">
        <v>37297</v>
      </c>
      <c r="D4">
        <v>18911</v>
      </c>
      <c r="E4">
        <v>2507489</v>
      </c>
      <c r="F4">
        <v>2463483</v>
      </c>
      <c r="G4">
        <v>11039</v>
      </c>
      <c r="I4" t="s">
        <v>445</v>
      </c>
    </row>
    <row r="5" spans="1:9" x14ac:dyDescent="0.2">
      <c r="A5" s="7" t="s">
        <v>24</v>
      </c>
      <c r="B5">
        <v>185071</v>
      </c>
      <c r="C5">
        <v>30214</v>
      </c>
      <c r="D5">
        <v>18436</v>
      </c>
      <c r="E5">
        <v>2318527</v>
      </c>
      <c r="F5">
        <v>2284506</v>
      </c>
      <c r="G5">
        <v>11168</v>
      </c>
      <c r="I5" s="34" t="s">
        <v>446</v>
      </c>
    </row>
    <row r="6" spans="1:9" x14ac:dyDescent="0.2">
      <c r="A6" s="7" t="s">
        <v>57</v>
      </c>
      <c r="B6">
        <v>162829</v>
      </c>
      <c r="C6">
        <v>27790</v>
      </c>
      <c r="D6">
        <v>13659</v>
      </c>
      <c r="E6">
        <v>1936618</v>
      </c>
      <c r="F6">
        <v>1900964</v>
      </c>
      <c r="G6">
        <v>9204</v>
      </c>
      <c r="I6" s="34" t="s">
        <v>447</v>
      </c>
    </row>
    <row r="7" spans="1:9" x14ac:dyDescent="0.2">
      <c r="A7" s="7" t="s">
        <v>35</v>
      </c>
      <c r="B7">
        <v>219562</v>
      </c>
      <c r="C7">
        <v>39435</v>
      </c>
      <c r="D7">
        <v>19846</v>
      </c>
      <c r="E7">
        <v>2905567</v>
      </c>
      <c r="F7">
        <v>2864808</v>
      </c>
      <c r="G7" s="44">
        <v>12544</v>
      </c>
      <c r="I7" s="34" t="s">
        <v>448</v>
      </c>
    </row>
    <row r="8" spans="1:9" x14ac:dyDescent="0.2">
      <c r="A8" s="7" t="s">
        <v>384</v>
      </c>
    </row>
    <row r="9" spans="1:9" x14ac:dyDescent="0.2">
      <c r="A9" s="7" t="s">
        <v>385</v>
      </c>
      <c r="B9">
        <v>923475</v>
      </c>
      <c r="C9">
        <v>160747</v>
      </c>
      <c r="D9">
        <v>84128</v>
      </c>
      <c r="E9">
        <v>11758756</v>
      </c>
      <c r="F9">
        <v>11577562</v>
      </c>
      <c r="G9">
        <v>51049</v>
      </c>
    </row>
    <row r="12" spans="1:9" x14ac:dyDescent="0.2">
      <c r="A12" s="6" t="s">
        <v>383</v>
      </c>
      <c r="B12" t="s">
        <v>405</v>
      </c>
      <c r="C12" t="s">
        <v>406</v>
      </c>
      <c r="D12" t="s">
        <v>407</v>
      </c>
      <c r="E12" t="s">
        <v>408</v>
      </c>
      <c r="F12" t="s">
        <v>409</v>
      </c>
      <c r="G12" t="s">
        <v>388</v>
      </c>
    </row>
    <row r="13" spans="1:9" x14ac:dyDescent="0.2">
      <c r="A13" s="7" t="s">
        <v>18</v>
      </c>
      <c r="B13">
        <v>2917.2264150943397</v>
      </c>
      <c r="C13">
        <v>490.77358490566036</v>
      </c>
      <c r="D13">
        <v>250.49056603773585</v>
      </c>
      <c r="E13">
        <v>39444.433962264149</v>
      </c>
      <c r="F13">
        <v>38939.641509433961</v>
      </c>
      <c r="G13">
        <v>133.84905660377359</v>
      </c>
    </row>
    <row r="14" spans="1:9" x14ac:dyDescent="0.2">
      <c r="A14" s="7" t="s">
        <v>29</v>
      </c>
      <c r="B14">
        <v>2650</v>
      </c>
      <c r="C14">
        <v>490.75</v>
      </c>
      <c r="D14">
        <v>248.82894736842104</v>
      </c>
      <c r="E14">
        <v>32993.276315789473</v>
      </c>
      <c r="F14">
        <v>32414.25</v>
      </c>
      <c r="G14">
        <v>145.25</v>
      </c>
    </row>
    <row r="15" spans="1:9" x14ac:dyDescent="0.2">
      <c r="A15" s="7" t="s">
        <v>24</v>
      </c>
      <c r="B15">
        <v>2721.6323529411766</v>
      </c>
      <c r="C15">
        <v>444.3235294117647</v>
      </c>
      <c r="D15">
        <v>271.11764705882354</v>
      </c>
      <c r="E15">
        <v>34095.98529411765</v>
      </c>
      <c r="F15">
        <v>33595.676470588238</v>
      </c>
      <c r="G15" s="44">
        <v>164.23529411764707</v>
      </c>
    </row>
    <row r="16" spans="1:9" x14ac:dyDescent="0.2">
      <c r="A16" s="7" t="s">
        <v>57</v>
      </c>
      <c r="B16">
        <v>2669.3278688524592</v>
      </c>
      <c r="C16">
        <v>455.57377049180326</v>
      </c>
      <c r="D16">
        <v>223.91803278688525</v>
      </c>
      <c r="E16">
        <v>31747.836065573771</v>
      </c>
      <c r="F16">
        <v>31163.344262295082</v>
      </c>
      <c r="G16">
        <v>150.88524590163934</v>
      </c>
    </row>
    <row r="17" spans="1:10" x14ac:dyDescent="0.2">
      <c r="A17" s="7" t="s">
        <v>35</v>
      </c>
      <c r="B17">
        <v>2710.641975308642</v>
      </c>
      <c r="C17">
        <v>486.85185185185185</v>
      </c>
      <c r="D17">
        <v>245.01234567901236</v>
      </c>
      <c r="E17">
        <v>35871.1975308642</v>
      </c>
      <c r="F17">
        <v>35368</v>
      </c>
      <c r="G17">
        <v>154.8641975308642</v>
      </c>
    </row>
    <row r="18" spans="1:10" x14ac:dyDescent="0.2">
      <c r="A18" s="7" t="s">
        <v>384</v>
      </c>
    </row>
    <row r="19" spans="1:10" x14ac:dyDescent="0.2">
      <c r="A19" s="7" t="s">
        <v>385</v>
      </c>
      <c r="B19">
        <v>2724.1150442477874</v>
      </c>
      <c r="C19">
        <v>474.17994100294987</v>
      </c>
      <c r="D19">
        <v>248.16519174041298</v>
      </c>
      <c r="E19">
        <v>34686.595870206489</v>
      </c>
      <c r="F19">
        <v>34152.100294985248</v>
      </c>
      <c r="G19">
        <v>150.58702064896755</v>
      </c>
    </row>
    <row r="22" spans="1:10" ht="17" thickBot="1" x14ac:dyDescent="0.25">
      <c r="A22" s="6" t="s">
        <v>383</v>
      </c>
      <c r="B22" t="s">
        <v>399</v>
      </c>
      <c r="C22" t="s">
        <v>400</v>
      </c>
      <c r="D22" t="s">
        <v>401</v>
      </c>
      <c r="I22" s="44" t="s">
        <v>458</v>
      </c>
    </row>
    <row r="23" spans="1:10" x14ac:dyDescent="0.2">
      <c r="A23" s="7" t="s">
        <v>18</v>
      </c>
      <c r="B23">
        <v>154613</v>
      </c>
      <c r="C23">
        <v>26011</v>
      </c>
      <c r="D23">
        <v>13276</v>
      </c>
      <c r="F23" s="12"/>
      <c r="G23" s="13"/>
      <c r="I23" s="12"/>
      <c r="J23" s="13"/>
    </row>
    <row r="24" spans="1:10" x14ac:dyDescent="0.2">
      <c r="A24" s="7" t="s">
        <v>29</v>
      </c>
      <c r="B24">
        <v>201400</v>
      </c>
      <c r="C24">
        <v>37297</v>
      </c>
      <c r="D24">
        <v>18911</v>
      </c>
      <c r="F24" s="14" t="s">
        <v>410</v>
      </c>
      <c r="G24" s="15">
        <f>GETPIVOTDATA("Sum of Likes",$A$22)+GETPIVOTDATA("Sum of Shares",$A$22)+GETPIVOTDATA("Sum of Comments",$A$22)</f>
        <v>1168350</v>
      </c>
      <c r="I24" s="19" t="s">
        <v>18</v>
      </c>
      <c r="J24" s="15">
        <f>(GETPIVOTDATA("Sum of Likes",$A$22,"Campaign_Name","Cyber Truck Launch")+GETPIVOTDATA("Sum of Shares",$A$22,"Campaign_Name","Cyber Truck Launch")+GETPIVOTDATA("Sum of Comments",$A$22,"Campaign_Name","Cyber Truck Launch"))/G26</f>
        <v>4.0120705594717559E-2</v>
      </c>
    </row>
    <row r="25" spans="1:10" x14ac:dyDescent="0.2">
      <c r="A25" s="7" t="s">
        <v>24</v>
      </c>
      <c r="B25">
        <v>185071</v>
      </c>
      <c r="C25">
        <v>30214</v>
      </c>
      <c r="D25">
        <v>18436</v>
      </c>
      <c r="F25" s="14"/>
      <c r="G25" s="15"/>
      <c r="I25" s="46" t="s">
        <v>29</v>
      </c>
      <c r="J25" s="45">
        <f>(GETPIVOTDATA("Sum of Likes",$A$22,"Campaign_Name","FSD Update")+GETPIVOTDATA("Sum of Shares",$A$22,"Campaign_Name","FSD Update")+GETPIVOTDATA("Sum of Comments",$A$22,"Campaign_Name","FSD Update"))/G26</f>
        <v>5.3302809318432183E-2</v>
      </c>
    </row>
    <row r="26" spans="1:10" x14ac:dyDescent="0.2">
      <c r="A26" s="7" t="s">
        <v>57</v>
      </c>
      <c r="B26">
        <v>162829</v>
      </c>
      <c r="C26">
        <v>27790</v>
      </c>
      <c r="D26">
        <v>13659</v>
      </c>
      <c r="F26" s="14" t="s">
        <v>411</v>
      </c>
      <c r="G26" s="15">
        <f>GETPIVOTDATA("Ad_Spend",$A$31)</f>
        <v>4832916</v>
      </c>
      <c r="I26" s="19" t="s">
        <v>24</v>
      </c>
      <c r="J26" s="15">
        <f>(GETPIVOTDATA("Sum of Likes",$A$22,"Campaign_Name","Model Y Campaign")+GETPIVOTDATA("Sum of Shares",$A$22,"Campaign_Name","Model Y Campaign")+GETPIVOTDATA("Sum of Comments",$A$22,"Campaign_Name","Model Y Campaign"))/G26</f>
        <v>4.83602446225012E-2</v>
      </c>
    </row>
    <row r="27" spans="1:10" x14ac:dyDescent="0.2">
      <c r="A27" s="7" t="s">
        <v>35</v>
      </c>
      <c r="B27">
        <v>219562</v>
      </c>
      <c r="C27">
        <v>39435</v>
      </c>
      <c r="D27">
        <v>19846</v>
      </c>
      <c r="F27" s="14"/>
      <c r="G27" s="15"/>
      <c r="I27" s="19" t="s">
        <v>426</v>
      </c>
      <c r="J27" s="15">
        <f>(GETPIVOTDATA("Sum of Likes",$A$22,"Campaign_Name","N/A")+GETPIVOTDATA("Sum of Shares",$A$22,"Campaign_Name","N/A")+GETPIVOTDATA("Sum of Comments",$A$22,"Campaign_Name","N/A"))/G26</f>
        <v>4.2268063421752003E-2</v>
      </c>
    </row>
    <row r="28" spans="1:10" x14ac:dyDescent="0.2">
      <c r="A28" s="7" t="s">
        <v>384</v>
      </c>
      <c r="F28" s="14"/>
      <c r="G28" s="15"/>
      <c r="I28" s="20" t="s">
        <v>35</v>
      </c>
      <c r="J28" s="45">
        <f>(GETPIVOTDATA("Sum of Likes",$A$22,"Campaign_Name","Sustainability Drive")+GETPIVOTDATA("Sum of Shares",$A$22,"Campaign_Name","Sustainability Drive")+GETPIVOTDATA("Sum of Comments",$A$22,"Campaign_Name","Sustainability Drive"))/G26</f>
        <v>5.7696636978586013E-2</v>
      </c>
    </row>
    <row r="29" spans="1:10" x14ac:dyDescent="0.2">
      <c r="A29" s="7" t="s">
        <v>385</v>
      </c>
      <c r="B29">
        <v>923475</v>
      </c>
      <c r="C29">
        <v>160747</v>
      </c>
      <c r="D29">
        <v>84128</v>
      </c>
      <c r="F29" s="18" t="s">
        <v>412</v>
      </c>
      <c r="G29" s="15">
        <f>G24/G26</f>
        <v>0.24174845993598895</v>
      </c>
      <c r="I29" s="19"/>
      <c r="J29" s="15"/>
    </row>
    <row r="30" spans="1:10" ht="17" thickBot="1" x14ac:dyDescent="0.25">
      <c r="F30" s="16"/>
      <c r="G30" s="17"/>
      <c r="I30" s="16"/>
      <c r="J30" s="17"/>
    </row>
    <row r="31" spans="1:10" x14ac:dyDescent="0.2">
      <c r="A31" s="6" t="s">
        <v>383</v>
      </c>
      <c r="B31" t="s">
        <v>395</v>
      </c>
    </row>
    <row r="32" spans="1:10" x14ac:dyDescent="0.2">
      <c r="A32" s="7" t="s">
        <v>38</v>
      </c>
      <c r="B32">
        <v>1379539</v>
      </c>
    </row>
    <row r="33" spans="1:2" x14ac:dyDescent="0.2">
      <c r="A33" s="7" t="s">
        <v>31</v>
      </c>
      <c r="B33">
        <v>1164373</v>
      </c>
    </row>
    <row r="34" spans="1:2" x14ac:dyDescent="0.2">
      <c r="A34" s="7" t="s">
        <v>14</v>
      </c>
      <c r="B34">
        <v>1060357</v>
      </c>
    </row>
    <row r="35" spans="1:2" x14ac:dyDescent="0.2">
      <c r="A35" s="7" t="s">
        <v>27</v>
      </c>
      <c r="B35">
        <v>1228647</v>
      </c>
    </row>
    <row r="36" spans="1:2" x14ac:dyDescent="0.2">
      <c r="A36" s="7" t="s">
        <v>384</v>
      </c>
    </row>
    <row r="37" spans="1:2" x14ac:dyDescent="0.2">
      <c r="A37" s="7" t="s">
        <v>385</v>
      </c>
      <c r="B37">
        <v>4832916</v>
      </c>
    </row>
    <row r="40" spans="1:2" x14ac:dyDescent="0.2">
      <c r="A40" s="6" t="s">
        <v>383</v>
      </c>
      <c r="B40" t="s">
        <v>392</v>
      </c>
    </row>
    <row r="41" spans="1:2" x14ac:dyDescent="0.2">
      <c r="A41" s="7" t="s">
        <v>413</v>
      </c>
    </row>
    <row r="42" spans="1:2" x14ac:dyDescent="0.2">
      <c r="A42" s="7" t="s">
        <v>414</v>
      </c>
      <c r="B42">
        <v>4.5209577323309631</v>
      </c>
    </row>
    <row r="43" spans="1:2" x14ac:dyDescent="0.2">
      <c r="A43" s="7" t="s">
        <v>415</v>
      </c>
      <c r="B43">
        <v>4.4543010504908063</v>
      </c>
    </row>
    <row r="44" spans="1:2" x14ac:dyDescent="0.2">
      <c r="A44" s="7" t="s">
        <v>416</v>
      </c>
      <c r="B44">
        <v>3.9614851733103391</v>
      </c>
    </row>
    <row r="45" spans="1:2" x14ac:dyDescent="0.2">
      <c r="A45" s="7" t="s">
        <v>417</v>
      </c>
      <c r="B45">
        <v>4.910784215714374</v>
      </c>
    </row>
    <row r="46" spans="1:2" x14ac:dyDescent="0.2">
      <c r="A46" s="7" t="s">
        <v>418</v>
      </c>
      <c r="B46">
        <v>1.6825802118790123</v>
      </c>
    </row>
    <row r="47" spans="1:2" x14ac:dyDescent="0.2">
      <c r="A47" s="7" t="s">
        <v>419</v>
      </c>
      <c r="B47">
        <v>5.5167223418681779</v>
      </c>
    </row>
    <row r="48" spans="1:2" x14ac:dyDescent="0.2">
      <c r="A48" s="7" t="s">
        <v>420</v>
      </c>
      <c r="B48">
        <v>4.3504458152539023</v>
      </c>
    </row>
    <row r="49" spans="1:2" x14ac:dyDescent="0.2">
      <c r="A49" s="7" t="s">
        <v>421</v>
      </c>
      <c r="B49">
        <v>4.8902187155014341</v>
      </c>
    </row>
    <row r="50" spans="1:2" x14ac:dyDescent="0.2">
      <c r="A50" s="7" t="s">
        <v>422</v>
      </c>
      <c r="B50">
        <v>1.8153911151496218</v>
      </c>
    </row>
    <row r="51" spans="1:2" x14ac:dyDescent="0.2">
      <c r="A51" s="7" t="s">
        <v>423</v>
      </c>
      <c r="B51">
        <v>4.9062111761595872</v>
      </c>
    </row>
    <row r="52" spans="1:2" x14ac:dyDescent="0.2">
      <c r="A52" s="7" t="s">
        <v>424</v>
      </c>
      <c r="B52">
        <v>4.0860311547588148</v>
      </c>
    </row>
    <row r="53" spans="1:2" x14ac:dyDescent="0.2">
      <c r="A53" s="7" t="s">
        <v>425</v>
      </c>
      <c r="B53">
        <v>3.8778352081663168</v>
      </c>
    </row>
    <row r="54" spans="1:2" x14ac:dyDescent="0.2">
      <c r="A54" s="7" t="s">
        <v>385</v>
      </c>
      <c r="B54">
        <v>48.972963910583353</v>
      </c>
    </row>
  </sheetData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D5AB-CC08-5D47-A41B-E7D88086ED28}">
  <dimension ref="A1:N202"/>
  <sheetViews>
    <sheetView topLeftCell="A14" workbookViewId="0">
      <selection activeCell="J1" sqref="J1:J1048576"/>
    </sheetView>
  </sheetViews>
  <sheetFormatPr baseColWidth="10" defaultRowHeight="16" x14ac:dyDescent="0.2"/>
  <cols>
    <col min="1" max="1" width="15.33203125" customWidth="1"/>
    <col min="2" max="2" width="10.6640625" customWidth="1"/>
    <col min="3" max="3" width="9.6640625" bestFit="1" customWidth="1"/>
    <col min="4" max="4" width="6.83203125" bestFit="1" customWidth="1"/>
    <col min="5" max="5" width="8" bestFit="1" customWidth="1"/>
    <col min="6" max="6" width="0.6640625" customWidth="1"/>
    <col min="7" max="7" width="10.5" bestFit="1" customWidth="1"/>
    <col min="8" max="8" width="16.5" customWidth="1"/>
    <col min="9" max="9" width="10.33203125" customWidth="1"/>
    <col min="10" max="10" width="10.5" style="37" customWidth="1"/>
    <col min="11" max="11" width="14" style="37" customWidth="1"/>
    <col min="12" max="12" width="16.83203125" customWidth="1"/>
    <col min="13" max="13" width="24" bestFit="1" customWidth="1"/>
  </cols>
  <sheetData>
    <row r="1" spans="1:11" x14ac:dyDescent="0.2">
      <c r="A1" s="26" t="s">
        <v>394</v>
      </c>
      <c r="B1" s="27" t="s">
        <v>387</v>
      </c>
      <c r="C1" s="28"/>
      <c r="D1" s="28"/>
      <c r="E1" s="28"/>
      <c r="F1" s="28"/>
      <c r="G1" s="28"/>
      <c r="H1" s="35"/>
      <c r="J1" s="40" t="s">
        <v>430</v>
      </c>
      <c r="K1" s="40" t="s">
        <v>393</v>
      </c>
    </row>
    <row r="2" spans="1:11" x14ac:dyDescent="0.2">
      <c r="A2" s="29" t="s">
        <v>383</v>
      </c>
      <c r="B2" t="s">
        <v>38</v>
      </c>
      <c r="C2" t="s">
        <v>31</v>
      </c>
      <c r="D2" t="s">
        <v>14</v>
      </c>
      <c r="E2" t="s">
        <v>27</v>
      </c>
      <c r="F2" t="s">
        <v>384</v>
      </c>
      <c r="G2" t="s">
        <v>385</v>
      </c>
      <c r="H2" s="36" t="s">
        <v>429</v>
      </c>
      <c r="I2" s="25"/>
      <c r="J2" s="41"/>
      <c r="K2" s="41"/>
    </row>
    <row r="3" spans="1:11" x14ac:dyDescent="0.2">
      <c r="A3" s="30">
        <v>45446</v>
      </c>
      <c r="B3">
        <v>1312</v>
      </c>
      <c r="C3">
        <v>1135</v>
      </c>
      <c r="D3">
        <v>584</v>
      </c>
      <c r="E3">
        <v>1535</v>
      </c>
      <c r="G3">
        <v>4566</v>
      </c>
      <c r="H3" s="15">
        <f>AVERAGE(GETPIVOTDATA("New_Followers",$A$1,"Week_Start_Date",DATE(2024,6,10))-GETPIVOTDATA("New_Followers",$A$1,"Week_Start_Date",DATE(2024,6,3)))</f>
        <v>-580</v>
      </c>
      <c r="J3" s="38">
        <v>5904</v>
      </c>
      <c r="K3" s="38">
        <f>Engagement_Summary[[#This Row],[New_Followers]]-Engagement_Summary[[#This Row],[Unfollows]]</f>
        <v>1002</v>
      </c>
    </row>
    <row r="4" spans="1:11" x14ac:dyDescent="0.2">
      <c r="A4" s="30">
        <v>45453</v>
      </c>
      <c r="B4">
        <v>1697</v>
      </c>
      <c r="C4">
        <v>656</v>
      </c>
      <c r="D4">
        <v>436</v>
      </c>
      <c r="E4">
        <v>1197</v>
      </c>
      <c r="G4">
        <v>3986</v>
      </c>
      <c r="H4" s="15">
        <f>GETPIVOTDATA("New_Followers",$A$1,"Week_Start_Date",DATE(2024,6,17))-GETPIVOTDATA("New_Followers",$A$1,"Week_Start_Date",DATE(2024,6,10))</f>
        <v>553</v>
      </c>
      <c r="J4" s="39">
        <v>9566</v>
      </c>
      <c r="K4" s="39">
        <f>Engagement_Summary[[#This Row],[New_Followers]]-Engagement_Summary[[#This Row],[Unfollows]]</f>
        <v>415</v>
      </c>
    </row>
    <row r="5" spans="1:11" x14ac:dyDescent="0.2">
      <c r="A5" s="30">
        <v>45460</v>
      </c>
      <c r="B5">
        <v>1753</v>
      </c>
      <c r="C5">
        <v>1048</v>
      </c>
      <c r="D5">
        <v>1335</v>
      </c>
      <c r="E5">
        <v>403</v>
      </c>
      <c r="G5">
        <v>4539</v>
      </c>
      <c r="H5" s="15">
        <f>GETPIVOTDATA("New_Followers",$A$1,"Week_Start_Date",DATE(2024,6,24))-GETPIVOTDATA("New_Followers",$A$1,"Week_Start_Date",DATE(2024,6,17))</f>
        <v>-303</v>
      </c>
      <c r="J5" s="38">
        <v>26752</v>
      </c>
      <c r="K5" s="38">
        <f>Engagement_Summary[[#This Row],[New_Followers]]-Engagement_Summary[[#This Row],[Unfollows]]</f>
        <v>1090</v>
      </c>
    </row>
    <row r="6" spans="1:11" x14ac:dyDescent="0.2">
      <c r="A6" s="30">
        <v>45467</v>
      </c>
      <c r="B6">
        <v>1779</v>
      </c>
      <c r="C6">
        <v>911</v>
      </c>
      <c r="D6">
        <v>1238</v>
      </c>
      <c r="E6">
        <v>308</v>
      </c>
      <c r="G6">
        <v>4236</v>
      </c>
      <c r="H6" s="15">
        <f>GETPIVOTDATA("New_Followers",$A$1,"Week_Start_Date",DATE(2024,7,1))-GETPIVOTDATA("New_Followers",$A$1,"Week_Start_Date",DATE(2024,6,24))</f>
        <v>-1941</v>
      </c>
      <c r="J6" s="39">
        <v>30671</v>
      </c>
      <c r="K6" s="39">
        <f>Engagement_Summary[[#This Row],[New_Followers]]-Engagement_Summary[[#This Row],[Unfollows]]</f>
        <v>517</v>
      </c>
    </row>
    <row r="7" spans="1:11" x14ac:dyDescent="0.2">
      <c r="A7" s="30">
        <v>45474</v>
      </c>
      <c r="B7">
        <v>505</v>
      </c>
      <c r="C7">
        <v>226</v>
      </c>
      <c r="D7">
        <v>1420</v>
      </c>
      <c r="E7">
        <v>144</v>
      </c>
      <c r="G7">
        <v>2295</v>
      </c>
      <c r="H7" s="15">
        <f>GETPIVOTDATA("New_Followers",$A$1,"Week_Start_Date",DATE(2024,7,8))-GETPIVOTDATA("New_Followers",$A$1,"Week_Start_Date",DATE(2024,7,1))</f>
        <v>1682</v>
      </c>
      <c r="J7" s="38">
        <v>9920</v>
      </c>
      <c r="K7" s="38">
        <f>Engagement_Summary[[#This Row],[New_Followers]]-Engagement_Summary[[#This Row],[Unfollows]]</f>
        <v>1283</v>
      </c>
    </row>
    <row r="8" spans="1:11" x14ac:dyDescent="0.2">
      <c r="A8" s="30">
        <v>45481</v>
      </c>
      <c r="B8">
        <v>350</v>
      </c>
      <c r="C8">
        <v>1757</v>
      </c>
      <c r="D8">
        <v>987</v>
      </c>
      <c r="E8">
        <v>883</v>
      </c>
      <c r="G8">
        <v>3977</v>
      </c>
      <c r="H8" s="15">
        <f>GETPIVOTDATA("New_Followers",$A$1,"Week_Start_Date",DATE(2024,7,15))-GETPIVOTDATA("New_Followers",$A$1,"Week_Start_Date",DATE(2024,7,8))</f>
        <v>-919</v>
      </c>
      <c r="J8" s="39">
        <v>7924</v>
      </c>
      <c r="K8" s="39">
        <f>Engagement_Summary[[#This Row],[New_Followers]]-Engagement_Summary[[#This Row],[Unfollows]]</f>
        <v>186</v>
      </c>
    </row>
    <row r="9" spans="1:11" x14ac:dyDescent="0.2">
      <c r="A9" s="30">
        <v>45488</v>
      </c>
      <c r="B9">
        <v>170</v>
      </c>
      <c r="C9">
        <v>1960</v>
      </c>
      <c r="D9">
        <v>704</v>
      </c>
      <c r="E9">
        <v>224</v>
      </c>
      <c r="G9">
        <v>3058</v>
      </c>
      <c r="H9" s="15">
        <f>GETPIVOTDATA("New_Followers",$A$1,"Week_Start_Date",DATE(2024,7,22))-GETPIVOTDATA("New_Followers",$A$1,"Week_Start_Date",DATE(2024,7,15))</f>
        <v>1346</v>
      </c>
      <c r="J9" s="38">
        <v>8912</v>
      </c>
      <c r="K9" s="38">
        <f>Engagement_Summary[[#This Row],[New_Followers]]-Engagement_Summary[[#This Row],[Unfollows]]</f>
        <v>994</v>
      </c>
    </row>
    <row r="10" spans="1:11" x14ac:dyDescent="0.2">
      <c r="A10" s="30">
        <v>45495</v>
      </c>
      <c r="B10">
        <v>1391</v>
      </c>
      <c r="C10">
        <v>508</v>
      </c>
      <c r="D10">
        <v>1701</v>
      </c>
      <c r="E10">
        <v>804</v>
      </c>
      <c r="G10">
        <v>4404</v>
      </c>
      <c r="H10" s="15">
        <f>GETPIVOTDATA("New_Followers",$A$1,"Week_Start_Date",DATE(2024,7,29))-GETPIVOTDATA("New_Followers",$A$1,"Week_Start_Date",DATE(2024,7,22))</f>
        <v>-1259</v>
      </c>
      <c r="J10" s="39">
        <v>21205</v>
      </c>
      <c r="K10" s="39">
        <f>Engagement_Summary[[#This Row],[New_Followers]]-Engagement_Summary[[#This Row],[Unfollows]]</f>
        <v>893</v>
      </c>
    </row>
    <row r="11" spans="1:11" x14ac:dyDescent="0.2">
      <c r="A11" s="30">
        <v>45502</v>
      </c>
      <c r="B11">
        <v>160</v>
      </c>
      <c r="C11">
        <v>653</v>
      </c>
      <c r="D11">
        <v>1756</v>
      </c>
      <c r="E11">
        <v>576</v>
      </c>
      <c r="G11">
        <v>3145</v>
      </c>
      <c r="H11" s="15">
        <f>GETPIVOTDATA("New_Followers",$A$1,"Week_Start_Date",DATE(2024,8,5))-GETPIVOTDATA("New_Followers",$A$1,"Week_Start_Date",DATE(2024,7,29))</f>
        <v>-1000</v>
      </c>
      <c r="J11" s="38">
        <v>11329</v>
      </c>
      <c r="K11" s="38">
        <f>Engagement_Summary[[#This Row],[New_Followers]]-Engagement_Summary[[#This Row],[Unfollows]]</f>
        <v>1382</v>
      </c>
    </row>
    <row r="12" spans="1:11" x14ac:dyDescent="0.2">
      <c r="A12" s="30">
        <v>45509</v>
      </c>
      <c r="B12">
        <v>214</v>
      </c>
      <c r="C12">
        <v>645</v>
      </c>
      <c r="D12">
        <v>826</v>
      </c>
      <c r="E12">
        <v>460</v>
      </c>
      <c r="G12">
        <v>2145</v>
      </c>
      <c r="H12" s="15">
        <f>GETPIVOTDATA("New_Followers",$A$1,"Week_Start_Date",DATE(2024,8,12))-GETPIVOTDATA("New_Followers",$A$1,"Week_Start_Date",DATE(2024,8,5))</f>
        <v>2612</v>
      </c>
      <c r="J12" s="39">
        <v>46670</v>
      </c>
      <c r="K12" s="39">
        <f>Engagement_Summary[[#This Row],[New_Followers]]-Engagement_Summary[[#This Row],[Unfollows]]</f>
        <v>1295</v>
      </c>
    </row>
    <row r="13" spans="1:11" x14ac:dyDescent="0.2">
      <c r="A13" s="30">
        <v>45516</v>
      </c>
      <c r="B13">
        <v>1534</v>
      </c>
      <c r="C13">
        <v>1528</v>
      </c>
      <c r="D13">
        <v>485</v>
      </c>
      <c r="E13">
        <v>1210</v>
      </c>
      <c r="G13">
        <v>4757</v>
      </c>
      <c r="H13" s="15">
        <f>GETPIVOTDATA("New_Followers",$A$1,"Week_Start_Date",DATE(2024,8,19))-GETPIVOTDATA("New_Followers",$A$1,"Week_Start_Date",DATE(2024,8,12))</f>
        <v>-1492</v>
      </c>
      <c r="J13" s="38">
        <v>22482</v>
      </c>
      <c r="K13" s="38">
        <f>Engagement_Summary[[#This Row],[New_Followers]]-Engagement_Summary[[#This Row],[Unfollows]]</f>
        <v>337</v>
      </c>
    </row>
    <row r="14" spans="1:11" x14ac:dyDescent="0.2">
      <c r="A14" s="30">
        <v>45523</v>
      </c>
      <c r="B14">
        <v>1078</v>
      </c>
      <c r="C14">
        <v>215</v>
      </c>
      <c r="D14">
        <v>1751</v>
      </c>
      <c r="E14">
        <v>221</v>
      </c>
      <c r="G14">
        <v>3265</v>
      </c>
      <c r="H14" s="15">
        <f>GETPIVOTDATA("New_Followers",$A$1,"Week_Start_Date",DATE(2024,8,26))-GETPIVOTDATA("New_Followers",$A$1,"Week_Start_Date",DATE(2024,8,19))</f>
        <v>390</v>
      </c>
      <c r="J14" s="39">
        <v>24313</v>
      </c>
      <c r="K14" s="39">
        <f>Engagement_Summary[[#This Row],[New_Followers]]-Engagement_Summary[[#This Row],[Unfollows]]</f>
        <v>629</v>
      </c>
    </row>
    <row r="15" spans="1:11" x14ac:dyDescent="0.2">
      <c r="A15" s="30">
        <v>45530</v>
      </c>
      <c r="B15">
        <v>248</v>
      </c>
      <c r="C15">
        <v>1685</v>
      </c>
      <c r="D15">
        <v>1300</v>
      </c>
      <c r="E15">
        <v>422</v>
      </c>
      <c r="G15">
        <v>3655</v>
      </c>
      <c r="H15" s="15">
        <f>GETPIVOTDATA("New_Followers",$A$1,"Week_Start_Date",DATE(2024,9,2))-GETPIVOTDATA("New_Followers",$A$1,"Week_Start_Date",DATE(2024,8,26))</f>
        <v>579</v>
      </c>
      <c r="J15" s="38">
        <v>18050</v>
      </c>
      <c r="K15" s="38">
        <f>Engagement_Summary[[#This Row],[New_Followers]]-Engagement_Summary[[#This Row],[Unfollows]]</f>
        <v>1670</v>
      </c>
    </row>
    <row r="16" spans="1:11" x14ac:dyDescent="0.2">
      <c r="A16" s="30">
        <v>45537</v>
      </c>
      <c r="B16">
        <v>1520</v>
      </c>
      <c r="C16">
        <v>1429</v>
      </c>
      <c r="D16">
        <v>557</v>
      </c>
      <c r="E16">
        <v>728</v>
      </c>
      <c r="G16">
        <v>4234</v>
      </c>
      <c r="H16" s="15">
        <f>GETPIVOTDATA("New_Followers",$A$1,"Week_Start_Date",DATE(2024,9,9))-GETPIVOTDATA("New_Followers",$A$1,"Week_Start_Date",DATE(2024,9,2))</f>
        <v>1360</v>
      </c>
      <c r="J16" s="39">
        <v>30635</v>
      </c>
      <c r="K16" s="39">
        <f>Engagement_Summary[[#This Row],[New_Followers]]-Engagement_Summary[[#This Row],[Unfollows]]</f>
        <v>835</v>
      </c>
    </row>
    <row r="17" spans="1:11" x14ac:dyDescent="0.2">
      <c r="A17" s="30">
        <v>45544</v>
      </c>
      <c r="B17">
        <v>1842</v>
      </c>
      <c r="C17">
        <v>1592</v>
      </c>
      <c r="D17">
        <v>751</v>
      </c>
      <c r="E17">
        <v>1409</v>
      </c>
      <c r="G17">
        <v>5594</v>
      </c>
      <c r="H17" s="15">
        <f>GETPIVOTDATA("New_Followers",$A$1,"Week_Start_Date",DATE(2024,9,16))-GETPIVOTDATA("New_Followers",$A$1,"Week_Start_Date",DATE(2024,9,9))</f>
        <v>-2778</v>
      </c>
      <c r="J17" s="38">
        <v>31280</v>
      </c>
      <c r="K17" s="38">
        <f>Engagement_Summary[[#This Row],[New_Followers]]-Engagement_Summary[[#This Row],[Unfollows]]</f>
        <v>-123</v>
      </c>
    </row>
    <row r="18" spans="1:11" x14ac:dyDescent="0.2">
      <c r="A18" s="30">
        <v>45551</v>
      </c>
      <c r="B18">
        <v>443</v>
      </c>
      <c r="C18">
        <v>778</v>
      </c>
      <c r="D18">
        <v>1472</v>
      </c>
      <c r="E18">
        <v>123</v>
      </c>
      <c r="G18">
        <v>2816</v>
      </c>
      <c r="H18" s="15">
        <f>GETPIVOTDATA("New_Followers",$A$1,"Week_Start_Date",DATE(2024,9,23))-GETPIVOTDATA("New_Followers",$A$1,"Week_Start_Date",DATE(2024,9,16))</f>
        <v>1328</v>
      </c>
      <c r="J18" s="39">
        <v>1783</v>
      </c>
      <c r="K18" s="39">
        <f>Engagement_Summary[[#This Row],[New_Followers]]-Engagement_Summary[[#This Row],[Unfollows]]</f>
        <v>-219</v>
      </c>
    </row>
    <row r="19" spans="1:11" x14ac:dyDescent="0.2">
      <c r="A19" s="30">
        <v>45558</v>
      </c>
      <c r="B19">
        <v>198</v>
      </c>
      <c r="C19">
        <v>817</v>
      </c>
      <c r="D19">
        <v>1911</v>
      </c>
      <c r="E19">
        <v>1218</v>
      </c>
      <c r="G19">
        <v>4144</v>
      </c>
      <c r="H19" s="15">
        <f>GETPIVOTDATA("New_Followers",$A$1,"Week_Start_Date",DATE(2024,9,30))-GETPIVOTDATA("New_Followers",$A$1,"Week_Start_Date",DATE(2024,9,23))</f>
        <v>209</v>
      </c>
      <c r="J19" s="38">
        <v>9566</v>
      </c>
      <c r="K19" s="38">
        <f>Engagement_Summary[[#This Row],[New_Followers]]-Engagement_Summary[[#This Row],[Unfollows]]</f>
        <v>64</v>
      </c>
    </row>
    <row r="20" spans="1:11" x14ac:dyDescent="0.2">
      <c r="A20" s="30">
        <v>45565</v>
      </c>
      <c r="B20">
        <v>250</v>
      </c>
      <c r="C20">
        <v>1433</v>
      </c>
      <c r="D20">
        <v>752</v>
      </c>
      <c r="E20">
        <v>1918</v>
      </c>
      <c r="G20">
        <v>4353</v>
      </c>
      <c r="H20" s="15">
        <f>GETPIVOTDATA("New_Followers",$A$1,"Week_Start_Date",DATE(2024,10,7))-GETPIVOTDATA("New_Followers",$A$1,"Week_Start_Date",DATE(2024,9,30))</f>
        <v>259</v>
      </c>
      <c r="J20" s="39">
        <v>42307</v>
      </c>
      <c r="K20" s="39">
        <f>Engagement_Summary[[#This Row],[New_Followers]]-Engagement_Summary[[#This Row],[Unfollows]]</f>
        <v>1357</v>
      </c>
    </row>
    <row r="21" spans="1:11" x14ac:dyDescent="0.2">
      <c r="A21" s="30">
        <v>45572</v>
      </c>
      <c r="B21">
        <v>1929</v>
      </c>
      <c r="C21">
        <v>1939</v>
      </c>
      <c r="D21">
        <v>437</v>
      </c>
      <c r="E21">
        <v>307</v>
      </c>
      <c r="G21">
        <v>4612</v>
      </c>
      <c r="H21" s="15">
        <f>GETPIVOTDATA("New_Followers",$A$1,"Week_Start_Date",DATE(2024,10,14))-GETPIVOTDATA("New_Followers",$A$1,"Week_Start_Date",DATE(2024,10,7))</f>
        <v>-1827</v>
      </c>
      <c r="J21" s="38">
        <v>5914</v>
      </c>
      <c r="K21" s="38">
        <f>Engagement_Summary[[#This Row],[New_Followers]]-Engagement_Summary[[#This Row],[Unfollows]]</f>
        <v>91</v>
      </c>
    </row>
    <row r="22" spans="1:11" x14ac:dyDescent="0.2">
      <c r="A22" s="30">
        <v>45579</v>
      </c>
      <c r="B22">
        <v>643</v>
      </c>
      <c r="C22">
        <v>1527</v>
      </c>
      <c r="D22">
        <v>201</v>
      </c>
      <c r="E22">
        <v>414</v>
      </c>
      <c r="G22">
        <v>2785</v>
      </c>
      <c r="H22" s="15">
        <f>GETPIVOTDATA("New_Followers",$A$1,"Week_Start_Date",DATE(2024,10,21))-GETPIVOTDATA("New_Followers",$A$1,"Week_Start_Date",DATE(2024,10,14))</f>
        <v>830</v>
      </c>
      <c r="J22" s="39">
        <v>30060</v>
      </c>
      <c r="K22" s="39">
        <f>Engagement_Summary[[#This Row],[New_Followers]]-Engagement_Summary[[#This Row],[Unfollows]]</f>
        <v>1672</v>
      </c>
    </row>
    <row r="23" spans="1:11" x14ac:dyDescent="0.2">
      <c r="A23" s="30">
        <v>45586</v>
      </c>
      <c r="B23">
        <v>508</v>
      </c>
      <c r="C23">
        <v>703</v>
      </c>
      <c r="D23">
        <v>697</v>
      </c>
      <c r="E23">
        <v>1707</v>
      </c>
      <c r="G23">
        <v>3615</v>
      </c>
      <c r="H23" s="15">
        <f>GETPIVOTDATA("New_Followers",$A$1,"Week_Start_Date",DATE(2024,10,28))-GETPIVOTDATA("New_Followers",$A$1,"Week_Start_Date",DATE(2024,10,21))</f>
        <v>-109</v>
      </c>
      <c r="J23" s="38">
        <v>22728</v>
      </c>
      <c r="K23" s="38">
        <f>Engagement_Summary[[#This Row],[New_Followers]]-Engagement_Summary[[#This Row],[Unfollows]]</f>
        <v>309</v>
      </c>
    </row>
    <row r="24" spans="1:11" x14ac:dyDescent="0.2">
      <c r="A24" s="30">
        <v>45593</v>
      </c>
      <c r="B24">
        <v>859</v>
      </c>
      <c r="C24">
        <v>642</v>
      </c>
      <c r="D24">
        <v>191</v>
      </c>
      <c r="E24">
        <v>1814</v>
      </c>
      <c r="G24">
        <v>3506</v>
      </c>
      <c r="H24" s="15">
        <f>GETPIVOTDATA("New_Followers",$A$1,"Week_Start_Date",DATE(2024,11,4))-GETPIVOTDATA("New_Followers",$A$1,"Week_Start_Date",DATE(2024,10,28))</f>
        <v>2235</v>
      </c>
      <c r="J24" s="39">
        <v>38610</v>
      </c>
      <c r="K24" s="39">
        <f>Engagement_Summary[[#This Row],[New_Followers]]-Engagement_Summary[[#This Row],[Unfollows]]</f>
        <v>547</v>
      </c>
    </row>
    <row r="25" spans="1:11" x14ac:dyDescent="0.2">
      <c r="A25" s="30">
        <v>45600</v>
      </c>
      <c r="B25">
        <v>947</v>
      </c>
      <c r="C25">
        <v>1466</v>
      </c>
      <c r="D25">
        <v>1821</v>
      </c>
      <c r="E25">
        <v>1507</v>
      </c>
      <c r="G25">
        <v>5741</v>
      </c>
      <c r="H25" s="15">
        <f>GETPIVOTDATA("New_Followers",$A$1,"Week_Start_Date",DATE(2024,11,11))-GETPIVOTDATA("New_Followers",$A$1,"Week_Start_Date",DATE(2024,11,4))</f>
        <v>-2554</v>
      </c>
      <c r="J25" s="38">
        <v>2932</v>
      </c>
      <c r="K25" s="38">
        <f>Engagement_Summary[[#This Row],[New_Followers]]-Engagement_Summary[[#This Row],[Unfollows]]</f>
        <v>514</v>
      </c>
    </row>
    <row r="26" spans="1:11" x14ac:dyDescent="0.2">
      <c r="A26" s="30">
        <v>45607</v>
      </c>
      <c r="B26">
        <v>171</v>
      </c>
      <c r="C26">
        <v>1075</v>
      </c>
      <c r="D26">
        <v>1487</v>
      </c>
      <c r="E26">
        <v>454</v>
      </c>
      <c r="G26">
        <v>3187</v>
      </c>
      <c r="H26" s="15">
        <f>GETPIVOTDATA("New_Followers",$A$1,"Week_Start_Date",DATE(2024,11,18))-GETPIVOTDATA("New_Followers",$A$1,"Week_Start_Date",DATE(2024,11,11))</f>
        <v>-1581</v>
      </c>
      <c r="J26" s="39">
        <v>15071</v>
      </c>
      <c r="K26" s="39">
        <f>Engagement_Summary[[#This Row],[New_Followers]]-Engagement_Summary[[#This Row],[Unfollows]]</f>
        <v>1845</v>
      </c>
    </row>
    <row r="27" spans="1:11" x14ac:dyDescent="0.2">
      <c r="A27" s="30">
        <v>45614</v>
      </c>
      <c r="B27">
        <v>513</v>
      </c>
      <c r="C27">
        <v>187</v>
      </c>
      <c r="D27">
        <v>628</v>
      </c>
      <c r="E27">
        <v>278</v>
      </c>
      <c r="G27">
        <v>1606</v>
      </c>
      <c r="H27" s="15">
        <f>GETPIVOTDATA("New_Followers",$A$1,"Week_Start_Date",DATE(2024,11,25))-GETPIVOTDATA("New_Followers",$A$1,"Week_Start_Date",DATE(2024,11,18))</f>
        <v>3581</v>
      </c>
      <c r="J27" s="38">
        <v>10740</v>
      </c>
      <c r="K27" s="38">
        <f>Engagement_Summary[[#This Row],[New_Followers]]-Engagement_Summary[[#This Row],[Unfollows]]</f>
        <v>-164</v>
      </c>
    </row>
    <row r="28" spans="1:11" x14ac:dyDescent="0.2">
      <c r="A28" s="30">
        <v>45621</v>
      </c>
      <c r="B28">
        <v>1710</v>
      </c>
      <c r="C28">
        <v>1854</v>
      </c>
      <c r="D28">
        <v>330</v>
      </c>
      <c r="E28">
        <v>1293</v>
      </c>
      <c r="G28">
        <v>5187</v>
      </c>
      <c r="H28" s="15">
        <f>GETPIVOTDATA("New_Followers",$A$1,"Week_Start_Date",DATE(2024,12,2))-GETPIVOTDATA("New_Followers",$A$1,"Week_Start_Date",DATE(2024,11,25))</f>
        <v>304</v>
      </c>
      <c r="J28" s="39">
        <v>43420</v>
      </c>
      <c r="K28" s="39">
        <f>Engagement_Summary[[#This Row],[New_Followers]]-Engagement_Summary[[#This Row],[Unfollows]]</f>
        <v>429</v>
      </c>
    </row>
    <row r="29" spans="1:11" x14ac:dyDescent="0.2">
      <c r="A29" s="30">
        <v>45628</v>
      </c>
      <c r="B29">
        <v>1902</v>
      </c>
      <c r="C29">
        <v>1696</v>
      </c>
      <c r="D29">
        <v>1441</v>
      </c>
      <c r="E29">
        <v>452</v>
      </c>
      <c r="G29">
        <v>5491</v>
      </c>
      <c r="H29" s="15">
        <f>GETPIVOTDATA("New_Followers",$A$1,"Week_Start_Date",DATE(2024,12,9))-GETPIVOTDATA("New_Followers",$A$1,"Week_Start_Date",DATE(2024,12,2))</f>
        <v>190</v>
      </c>
      <c r="J29" s="38">
        <v>32393</v>
      </c>
      <c r="K29" s="38">
        <f>Engagement_Summary[[#This Row],[New_Followers]]-Engagement_Summary[[#This Row],[Unfollows]]</f>
        <v>160</v>
      </c>
    </row>
    <row r="30" spans="1:11" x14ac:dyDescent="0.2">
      <c r="A30" s="30">
        <v>45635</v>
      </c>
      <c r="B30">
        <v>1514</v>
      </c>
      <c r="C30">
        <v>1494</v>
      </c>
      <c r="D30">
        <v>1937</v>
      </c>
      <c r="E30">
        <v>736</v>
      </c>
      <c r="G30">
        <v>5681</v>
      </c>
      <c r="H30" s="15">
        <f>GETPIVOTDATA("New_Followers",$A$1,"Week_Start_Date",DATE(2024,12,16))-GETPIVOTDATA("New_Followers",$A$1,"Week_Start_Date",DATE(2024,12,9))</f>
        <v>40</v>
      </c>
      <c r="J30" s="39">
        <v>28474</v>
      </c>
      <c r="K30" s="39">
        <f>Engagement_Summary[[#This Row],[New_Followers]]-Engagement_Summary[[#This Row],[Unfollows]]</f>
        <v>159</v>
      </c>
    </row>
    <row r="31" spans="1:11" x14ac:dyDescent="0.2">
      <c r="A31" s="30">
        <v>45642</v>
      </c>
      <c r="B31">
        <v>1623</v>
      </c>
      <c r="C31">
        <v>1502</v>
      </c>
      <c r="D31">
        <v>1592</v>
      </c>
      <c r="E31">
        <v>1004</v>
      </c>
      <c r="G31">
        <v>5721</v>
      </c>
      <c r="H31" s="15">
        <f>GETPIVOTDATA("New_Followers",$A$1,"Week_Start_Date",DATE(2024,12,23))-GETPIVOTDATA("New_Followers",$A$1,"Week_Start_Date",DATE(2024,12,16))</f>
        <v>-437</v>
      </c>
      <c r="J31" s="38">
        <v>17328</v>
      </c>
      <c r="K31" s="38">
        <f>Engagement_Summary[[#This Row],[New_Followers]]-Engagement_Summary[[#This Row],[Unfollows]]</f>
        <v>961</v>
      </c>
    </row>
    <row r="32" spans="1:11" ht="17" thickBot="1" x14ac:dyDescent="0.25">
      <c r="A32" s="30">
        <v>45649</v>
      </c>
      <c r="B32">
        <v>1155</v>
      </c>
      <c r="C32">
        <v>1092</v>
      </c>
      <c r="D32">
        <v>1137</v>
      </c>
      <c r="E32">
        <v>1900</v>
      </c>
      <c r="G32">
        <v>5284</v>
      </c>
      <c r="H32" s="15">
        <f>GETPIVOTDATA("New_Followers",$A$1,"Week_Start_Date",DATE(2024,12,30))-GETPIVOTDATA("New_Followers",$A$1,"Week_Start_Date",DATE(2024,12,23))</f>
        <v>1791</v>
      </c>
      <c r="J32" s="39">
        <v>26067</v>
      </c>
      <c r="K32" s="39">
        <f>Engagement_Summary[[#This Row],[New_Followers]]-Engagement_Summary[[#This Row],[Unfollows]]</f>
        <v>1316</v>
      </c>
    </row>
    <row r="33" spans="1:14" x14ac:dyDescent="0.2">
      <c r="A33" s="47">
        <v>45656</v>
      </c>
      <c r="B33" s="44">
        <v>1980</v>
      </c>
      <c r="C33" s="44">
        <v>1814</v>
      </c>
      <c r="D33" s="44">
        <v>1786</v>
      </c>
      <c r="E33" s="44">
        <v>1495</v>
      </c>
      <c r="F33" s="44"/>
      <c r="G33" s="44">
        <v>7075</v>
      </c>
      <c r="H33" s="15">
        <f>GETPIVOTDATA("New_Followers",$A$1,"Week_Start_Date",DATE(2025,1,6))-GETPIVOTDATA("New_Followers",$A$1,"Week_Start_Date",DATE(2024,12,30))</f>
        <v>-2722</v>
      </c>
      <c r="J33" s="38">
        <v>32763</v>
      </c>
      <c r="K33" s="38">
        <f>Engagement_Summary[[#This Row],[New_Followers]]-Engagement_Summary[[#This Row],[Unfollows]]</f>
        <v>317</v>
      </c>
      <c r="M33" s="12"/>
      <c r="N33" s="13"/>
    </row>
    <row r="34" spans="1:14" x14ac:dyDescent="0.2">
      <c r="A34" s="30">
        <v>45663</v>
      </c>
      <c r="B34">
        <v>816</v>
      </c>
      <c r="C34">
        <v>1013</v>
      </c>
      <c r="D34">
        <v>1633</v>
      </c>
      <c r="E34">
        <v>891</v>
      </c>
      <c r="G34">
        <v>4353</v>
      </c>
      <c r="H34" s="15">
        <f>GETPIVOTDATA("New_Followers",$A$1,"Week_Start_Date",DATE(2025,1,13))-GETPIVOTDATA("New_Followers",$A$1,"Week_Start_Date",DATE(2025,1,6))</f>
        <v>-398</v>
      </c>
      <c r="J34" s="39">
        <v>26452</v>
      </c>
      <c r="K34" s="39">
        <f>Engagement_Summary[[#This Row],[New_Followers]]-Engagement_Summary[[#This Row],[Unfollows]]</f>
        <v>541</v>
      </c>
    </row>
    <row r="35" spans="1:14" x14ac:dyDescent="0.2">
      <c r="A35" s="30">
        <v>45670</v>
      </c>
      <c r="B35">
        <v>651</v>
      </c>
      <c r="C35">
        <v>1855</v>
      </c>
      <c r="D35">
        <v>118</v>
      </c>
      <c r="E35">
        <v>1331</v>
      </c>
      <c r="G35">
        <v>3955</v>
      </c>
      <c r="H35" s="15">
        <f>GETPIVOTDATA("New_Followers",$A$1,"Week_Start_Date",DATE(2025,1,20))-GETPIVOTDATA("New_Followers",$A$1,"Week_Start_Date",DATE(2025,1,13))</f>
        <v>662</v>
      </c>
      <c r="J35" s="38">
        <v>15353</v>
      </c>
      <c r="K35" s="38">
        <f>Engagement_Summary[[#This Row],[New_Followers]]-Engagement_Summary[[#This Row],[Unfollows]]</f>
        <v>-318</v>
      </c>
    </row>
    <row r="36" spans="1:14" x14ac:dyDescent="0.2">
      <c r="A36" s="30">
        <v>45677</v>
      </c>
      <c r="B36">
        <v>663</v>
      </c>
      <c r="C36">
        <v>1748</v>
      </c>
      <c r="D36">
        <v>1040</v>
      </c>
      <c r="E36">
        <v>1166</v>
      </c>
      <c r="G36">
        <v>4617</v>
      </c>
      <c r="H36" s="15">
        <f>-GETPIVOTDATA("New_Followers",$A$1,"Week_Start_Date",DATE(2025,1,20))</f>
        <v>-4617</v>
      </c>
      <c r="J36" s="39">
        <v>4839</v>
      </c>
      <c r="K36" s="39">
        <f>Engagement_Summary[[#This Row],[New_Followers]]-Engagement_Summary[[#This Row],[Unfollows]]</f>
        <v>1495</v>
      </c>
    </row>
    <row r="37" spans="1:14" x14ac:dyDescent="0.2">
      <c r="A37" s="30">
        <v>45684</v>
      </c>
      <c r="B37">
        <v>1249</v>
      </c>
      <c r="C37">
        <v>115</v>
      </c>
      <c r="D37">
        <v>1501</v>
      </c>
      <c r="E37">
        <v>1411</v>
      </c>
      <c r="G37">
        <v>4276</v>
      </c>
      <c r="H37" s="15">
        <f t="shared" ref="H37" si="0">GETPIVOTDATA("New_Followers",$A$1,"Week_Start_Date",DATE(2025,1,13))-GETPIVOTDATA("New_Followers",$A$1,"Week_Start_Date",DATE(2025,1,6))</f>
        <v>-398</v>
      </c>
      <c r="J37" s="38">
        <v>39272</v>
      </c>
      <c r="K37" s="38">
        <f>Engagement_Summary[[#This Row],[New_Followers]]-Engagement_Summary[[#This Row],[Unfollows]]</f>
        <v>475</v>
      </c>
    </row>
    <row r="38" spans="1:14" x14ac:dyDescent="0.2">
      <c r="A38" s="30">
        <v>45691</v>
      </c>
      <c r="B38">
        <v>1159</v>
      </c>
      <c r="C38">
        <v>1556</v>
      </c>
      <c r="D38">
        <v>927</v>
      </c>
      <c r="E38">
        <v>152</v>
      </c>
      <c r="G38">
        <v>3794</v>
      </c>
      <c r="H38" s="15">
        <f t="shared" ref="H38" si="1">GETPIVOTDATA("New_Followers",$A$1,"Week_Start_Date",DATE(2025,1,20))-GETPIVOTDATA("New_Followers",$A$1,"Week_Start_Date",DATE(2025,1,13))</f>
        <v>662</v>
      </c>
      <c r="J38" s="39">
        <v>16804</v>
      </c>
      <c r="K38" s="39">
        <f>Engagement_Summary[[#This Row],[New_Followers]]-Engagement_Summary[[#This Row],[Unfollows]]</f>
        <v>352</v>
      </c>
    </row>
    <row r="39" spans="1:14" x14ac:dyDescent="0.2">
      <c r="A39" s="30">
        <v>45698</v>
      </c>
      <c r="B39">
        <v>1294</v>
      </c>
      <c r="C39">
        <v>1957</v>
      </c>
      <c r="D39">
        <v>1587</v>
      </c>
      <c r="E39">
        <v>1707</v>
      </c>
      <c r="G39">
        <v>6545</v>
      </c>
      <c r="H39" s="15">
        <f t="shared" ref="H39" si="2">-GETPIVOTDATA("New_Followers",$A$1,"Week_Start_Date",DATE(2025,1,20))</f>
        <v>-4617</v>
      </c>
      <c r="J39" s="38">
        <v>49303</v>
      </c>
      <c r="K39" s="38">
        <f>Engagement_Summary[[#This Row],[New_Followers]]-Engagement_Summary[[#This Row],[Unfollows]]</f>
        <v>-197</v>
      </c>
    </row>
    <row r="40" spans="1:14" x14ac:dyDescent="0.2">
      <c r="A40" s="30">
        <v>45705</v>
      </c>
      <c r="B40">
        <v>1895</v>
      </c>
      <c r="C40">
        <v>1138</v>
      </c>
      <c r="D40">
        <v>362</v>
      </c>
      <c r="E40">
        <v>1662</v>
      </c>
      <c r="G40">
        <v>5057</v>
      </c>
      <c r="H40" s="15">
        <f t="shared" ref="H40" si="3">GETPIVOTDATA("New_Followers",$A$1,"Week_Start_Date",DATE(2025,1,13))-GETPIVOTDATA("New_Followers",$A$1,"Week_Start_Date",DATE(2025,1,6))</f>
        <v>-398</v>
      </c>
      <c r="J40" s="39">
        <v>26455</v>
      </c>
      <c r="K40" s="39">
        <f>Engagement_Summary[[#This Row],[New_Followers]]-Engagement_Summary[[#This Row],[Unfollows]]</f>
        <v>328</v>
      </c>
    </row>
    <row r="41" spans="1:14" x14ac:dyDescent="0.2">
      <c r="A41" s="30">
        <v>45712</v>
      </c>
      <c r="B41">
        <v>1884</v>
      </c>
      <c r="C41">
        <v>1440</v>
      </c>
      <c r="D41">
        <v>861</v>
      </c>
      <c r="E41">
        <v>1063</v>
      </c>
      <c r="G41">
        <v>5248</v>
      </c>
      <c r="H41" s="15">
        <f t="shared" ref="H41" si="4">GETPIVOTDATA("New_Followers",$A$1,"Week_Start_Date",DATE(2025,1,20))-GETPIVOTDATA("New_Followers",$A$1,"Week_Start_Date",DATE(2025,1,13))</f>
        <v>662</v>
      </c>
      <c r="J41" s="38">
        <v>12384</v>
      </c>
      <c r="K41" s="38">
        <f>Engagement_Summary[[#This Row],[New_Followers]]-Engagement_Summary[[#This Row],[Unfollows]]</f>
        <v>319</v>
      </c>
    </row>
    <row r="42" spans="1:14" x14ac:dyDescent="0.2">
      <c r="A42" s="30">
        <v>45719</v>
      </c>
      <c r="B42">
        <v>345</v>
      </c>
      <c r="C42">
        <v>1371</v>
      </c>
      <c r="D42">
        <v>946</v>
      </c>
      <c r="E42">
        <v>510</v>
      </c>
      <c r="G42">
        <v>3172</v>
      </c>
      <c r="H42" s="15">
        <f t="shared" ref="H42" si="5">-GETPIVOTDATA("New_Followers",$A$1,"Week_Start_Date",DATE(2025,1,20))</f>
        <v>-4617</v>
      </c>
      <c r="J42" s="39">
        <v>49372</v>
      </c>
      <c r="K42" s="39">
        <f>Engagement_Summary[[#This Row],[New_Followers]]-Engagement_Summary[[#This Row],[Unfollows]]</f>
        <v>1325</v>
      </c>
    </row>
    <row r="43" spans="1:14" x14ac:dyDescent="0.2">
      <c r="A43" s="30">
        <v>45726</v>
      </c>
      <c r="B43">
        <v>1098</v>
      </c>
      <c r="C43">
        <v>393</v>
      </c>
      <c r="D43">
        <v>1399</v>
      </c>
      <c r="E43">
        <v>1658</v>
      </c>
      <c r="G43">
        <v>4548</v>
      </c>
      <c r="H43" s="15">
        <f t="shared" ref="H43" si="6">GETPIVOTDATA("New_Followers",$A$1,"Week_Start_Date",DATE(2025,1,13))-GETPIVOTDATA("New_Followers",$A$1,"Week_Start_Date",DATE(2025,1,6))</f>
        <v>-398</v>
      </c>
      <c r="J43" s="38">
        <v>47101</v>
      </c>
      <c r="K43" s="38">
        <f>Engagement_Summary[[#This Row],[New_Followers]]-Engagement_Summary[[#This Row],[Unfollows]]</f>
        <v>1334</v>
      </c>
    </row>
    <row r="44" spans="1:14" x14ac:dyDescent="0.2">
      <c r="A44" s="30">
        <v>45733</v>
      </c>
      <c r="B44">
        <v>1358</v>
      </c>
      <c r="C44">
        <v>1102</v>
      </c>
      <c r="D44">
        <v>1077</v>
      </c>
      <c r="E44">
        <v>1596</v>
      </c>
      <c r="G44">
        <v>5133</v>
      </c>
      <c r="H44" s="15">
        <f t="shared" ref="H44" si="7">GETPIVOTDATA("New_Followers",$A$1,"Week_Start_Date",DATE(2025,1,20))-GETPIVOTDATA("New_Followers",$A$1,"Week_Start_Date",DATE(2025,1,13))</f>
        <v>662</v>
      </c>
      <c r="J44" s="39">
        <v>37903</v>
      </c>
      <c r="K44" s="39">
        <f>Engagement_Summary[[#This Row],[New_Followers]]-Engagement_Summary[[#This Row],[Unfollows]]</f>
        <v>37</v>
      </c>
    </row>
    <row r="45" spans="1:14" ht="17" thickBot="1" x14ac:dyDescent="0.25">
      <c r="A45" s="30">
        <v>45740</v>
      </c>
      <c r="B45">
        <v>609</v>
      </c>
      <c r="C45">
        <v>490</v>
      </c>
      <c r="D45">
        <v>364</v>
      </c>
      <c r="E45">
        <v>442</v>
      </c>
      <c r="G45">
        <v>1905</v>
      </c>
      <c r="H45" s="15">
        <f t="shared" ref="H45" si="8">-GETPIVOTDATA("New_Followers",$A$1,"Week_Start_Date",DATE(2025,1,20))</f>
        <v>-4617</v>
      </c>
      <c r="J45" s="38">
        <v>33258</v>
      </c>
      <c r="K45" s="38">
        <f>Engagement_Summary[[#This Row],[New_Followers]]-Engagement_Summary[[#This Row],[Unfollows]]</f>
        <v>1032</v>
      </c>
    </row>
    <row r="46" spans="1:14" x14ac:dyDescent="0.2">
      <c r="A46" s="30">
        <v>45747</v>
      </c>
      <c r="B46">
        <v>988</v>
      </c>
      <c r="C46">
        <v>1033</v>
      </c>
      <c r="D46">
        <v>1946</v>
      </c>
      <c r="E46">
        <v>1957</v>
      </c>
      <c r="G46">
        <v>5924</v>
      </c>
      <c r="H46" s="15">
        <f t="shared" ref="H46" si="9">GETPIVOTDATA("New_Followers",$A$1,"Week_Start_Date",DATE(2025,1,13))-GETPIVOTDATA("New_Followers",$A$1,"Week_Start_Date",DATE(2025,1,6))</f>
        <v>-398</v>
      </c>
      <c r="J46" s="39">
        <v>6915</v>
      </c>
      <c r="K46" s="39">
        <f>Engagement_Summary[[#This Row],[New_Followers]]-Engagement_Summary[[#This Row],[Unfollows]]</f>
        <v>76</v>
      </c>
      <c r="M46" s="12"/>
      <c r="N46" s="13"/>
    </row>
    <row r="47" spans="1:14" x14ac:dyDescent="0.2">
      <c r="A47" s="30">
        <v>45754</v>
      </c>
      <c r="B47">
        <v>1307</v>
      </c>
      <c r="C47">
        <v>559</v>
      </c>
      <c r="D47">
        <v>1432</v>
      </c>
      <c r="E47">
        <v>623</v>
      </c>
      <c r="G47">
        <v>3921</v>
      </c>
      <c r="H47" s="15">
        <f t="shared" ref="H47" si="10">GETPIVOTDATA("New_Followers",$A$1,"Week_Start_Date",DATE(2025,1,20))-GETPIVOTDATA("New_Followers",$A$1,"Week_Start_Date",DATE(2025,1,13))</f>
        <v>662</v>
      </c>
      <c r="J47" s="38">
        <v>35501</v>
      </c>
      <c r="K47" s="38">
        <f>Engagement_Summary[[#This Row],[New_Followers]]-Engagement_Summary[[#This Row],[Unfollows]]</f>
        <v>1058</v>
      </c>
      <c r="M47" s="21" t="s">
        <v>427</v>
      </c>
      <c r="N47" s="22">
        <f>MAX(G3:G52)</f>
        <v>7075</v>
      </c>
    </row>
    <row r="48" spans="1:14" x14ac:dyDescent="0.2">
      <c r="A48" s="30">
        <v>45761</v>
      </c>
      <c r="B48">
        <v>198</v>
      </c>
      <c r="C48">
        <v>198</v>
      </c>
      <c r="D48">
        <v>353</v>
      </c>
      <c r="E48">
        <v>520</v>
      </c>
      <c r="G48">
        <v>1269</v>
      </c>
      <c r="H48" s="15">
        <f t="shared" ref="H48" si="11">-GETPIVOTDATA("New_Followers",$A$1,"Week_Start_Date",DATE(2025,1,20))</f>
        <v>-4617</v>
      </c>
      <c r="J48" s="39">
        <v>14203</v>
      </c>
      <c r="K48" s="39">
        <f>Engagement_Summary[[#This Row],[New_Followers]]-Engagement_Summary[[#This Row],[Unfollows]]</f>
        <v>1665</v>
      </c>
      <c r="M48" s="21" t="s">
        <v>428</v>
      </c>
      <c r="N48" s="23">
        <v>45656</v>
      </c>
    </row>
    <row r="49" spans="1:14" ht="17" thickBot="1" x14ac:dyDescent="0.25">
      <c r="A49" s="30">
        <v>45768</v>
      </c>
      <c r="B49">
        <v>1375</v>
      </c>
      <c r="C49">
        <v>961</v>
      </c>
      <c r="D49">
        <v>1147</v>
      </c>
      <c r="E49">
        <v>1707</v>
      </c>
      <c r="G49">
        <v>5190</v>
      </c>
      <c r="H49" s="15">
        <f t="shared" ref="H49" si="12">GETPIVOTDATA("New_Followers",$A$1,"Week_Start_Date",DATE(2025,1,13))-GETPIVOTDATA("New_Followers",$A$1,"Week_Start_Date",DATE(2025,1,6))</f>
        <v>-398</v>
      </c>
      <c r="J49" s="38">
        <v>22206</v>
      </c>
      <c r="K49" s="38">
        <f>Engagement_Summary[[#This Row],[New_Followers]]-Engagement_Summary[[#This Row],[Unfollows]]</f>
        <v>190</v>
      </c>
      <c r="M49" s="16"/>
      <c r="N49" s="17"/>
    </row>
    <row r="50" spans="1:14" x14ac:dyDescent="0.2">
      <c r="A50" s="30">
        <v>45775</v>
      </c>
      <c r="B50">
        <v>833</v>
      </c>
      <c r="C50">
        <v>1693</v>
      </c>
      <c r="D50">
        <v>1222</v>
      </c>
      <c r="E50">
        <v>777</v>
      </c>
      <c r="G50">
        <v>4525</v>
      </c>
      <c r="H50" s="15">
        <f t="shared" ref="H50" si="13">GETPIVOTDATA("New_Followers",$A$1,"Week_Start_Date",DATE(2025,1,20))-GETPIVOTDATA("New_Followers",$A$1,"Week_Start_Date",DATE(2025,1,13))</f>
        <v>662</v>
      </c>
      <c r="J50" s="39">
        <v>10283</v>
      </c>
      <c r="K50" s="39">
        <f>Engagement_Summary[[#This Row],[New_Followers]]-Engagement_Summary[[#This Row],[Unfollows]]</f>
        <v>1609</v>
      </c>
    </row>
    <row r="51" spans="1:14" x14ac:dyDescent="0.2">
      <c r="A51" s="30">
        <v>45782</v>
      </c>
      <c r="B51">
        <v>405</v>
      </c>
      <c r="C51">
        <v>1957</v>
      </c>
      <c r="D51">
        <v>1581</v>
      </c>
      <c r="E51">
        <v>1035</v>
      </c>
      <c r="G51">
        <v>4978</v>
      </c>
      <c r="H51" s="15">
        <f t="shared" ref="H51" si="14">-GETPIVOTDATA("New_Followers",$A$1,"Week_Start_Date",DATE(2025,1,20))</f>
        <v>-4617</v>
      </c>
      <c r="J51" s="38">
        <v>24913</v>
      </c>
      <c r="K51" s="38">
        <f>Engagement_Summary[[#This Row],[New_Followers]]-Engagement_Summary[[#This Row],[Unfollows]]</f>
        <v>37</v>
      </c>
    </row>
    <row r="52" spans="1:14" ht="19" x14ac:dyDescent="0.25">
      <c r="A52" s="30">
        <v>45789</v>
      </c>
      <c r="B52">
        <v>837</v>
      </c>
      <c r="C52">
        <v>1765</v>
      </c>
      <c r="D52">
        <v>337</v>
      </c>
      <c r="E52">
        <v>119</v>
      </c>
      <c r="G52">
        <v>3058</v>
      </c>
      <c r="H52" s="15">
        <f t="shared" ref="H52" si="15">GETPIVOTDATA("New_Followers",$A$1,"Week_Start_Date",DATE(2025,1,13))-GETPIVOTDATA("New_Followers",$A$1,"Week_Start_Date",DATE(2025,1,6))</f>
        <v>-398</v>
      </c>
      <c r="J52" s="39">
        <v>26925</v>
      </c>
      <c r="K52" s="39">
        <f>Engagement_Summary[[#This Row],[New_Followers]]-Engagement_Summary[[#This Row],[Unfollows]]</f>
        <v>1229</v>
      </c>
      <c r="M52" s="33" t="s">
        <v>436</v>
      </c>
    </row>
    <row r="53" spans="1:14" x14ac:dyDescent="0.2">
      <c r="A53" s="19" t="s">
        <v>384</v>
      </c>
      <c r="H53" s="15"/>
      <c r="J53" s="38">
        <v>9942</v>
      </c>
      <c r="K53" s="38">
        <f>Engagement_Summary[[#This Row],[New_Followers]]-Engagement_Summary[[#This Row],[Unfollows]]</f>
        <v>28</v>
      </c>
    </row>
    <row r="54" spans="1:14" ht="17" thickBot="1" x14ac:dyDescent="0.25">
      <c r="A54" s="31" t="s">
        <v>385</v>
      </c>
      <c r="B54" s="32">
        <v>50862</v>
      </c>
      <c r="C54" s="32">
        <v>58311</v>
      </c>
      <c r="D54" s="32">
        <v>53484</v>
      </c>
      <c r="E54" s="32">
        <v>47471</v>
      </c>
      <c r="F54" s="32"/>
      <c r="G54" s="32">
        <v>210128</v>
      </c>
      <c r="H54" s="17">
        <f>SUM(H3:H53)</f>
        <v>-26729</v>
      </c>
      <c r="J54" s="39">
        <v>32929</v>
      </c>
      <c r="K54" s="39">
        <f>Engagement_Summary[[#This Row],[New_Followers]]-Engagement_Summary[[#This Row],[Unfollows]]</f>
        <v>1247</v>
      </c>
      <c r="M54" t="s">
        <v>449</v>
      </c>
    </row>
    <row r="55" spans="1:14" x14ac:dyDescent="0.2">
      <c r="J55" s="38">
        <v>37829</v>
      </c>
      <c r="K55" s="38">
        <f>Engagement_Summary[[#This Row],[New_Followers]]-Engagement_Summary[[#This Row],[Unfollows]]</f>
        <v>1045</v>
      </c>
      <c r="M55" s="34" t="s">
        <v>450</v>
      </c>
    </row>
    <row r="56" spans="1:14" x14ac:dyDescent="0.2">
      <c r="J56" s="39">
        <v>24384</v>
      </c>
      <c r="K56" s="39">
        <f>Engagement_Summary[[#This Row],[New_Followers]]-Engagement_Summary[[#This Row],[Unfollows]]</f>
        <v>197</v>
      </c>
      <c r="M56" t="s">
        <v>451</v>
      </c>
    </row>
    <row r="57" spans="1:14" x14ac:dyDescent="0.2">
      <c r="J57" s="38">
        <v>25797</v>
      </c>
      <c r="K57" s="38">
        <f>Engagement_Summary[[#This Row],[New_Followers]]-Engagement_Summary[[#This Row],[Unfollows]]</f>
        <v>333</v>
      </c>
      <c r="M57" t="s">
        <v>452</v>
      </c>
    </row>
    <row r="58" spans="1:14" x14ac:dyDescent="0.2">
      <c r="J58" s="39">
        <v>12646</v>
      </c>
      <c r="K58" s="39">
        <f>Engagement_Summary[[#This Row],[New_Followers]]-Engagement_Summary[[#This Row],[Unfollows]]</f>
        <v>1572</v>
      </c>
    </row>
    <row r="59" spans="1:14" x14ac:dyDescent="0.2">
      <c r="J59" s="38">
        <v>26663</v>
      </c>
      <c r="K59" s="38">
        <f>Engagement_Summary[[#This Row],[New_Followers]]-Engagement_Summary[[#This Row],[Unfollows]]</f>
        <v>1428</v>
      </c>
    </row>
    <row r="60" spans="1:14" x14ac:dyDescent="0.2">
      <c r="J60" s="39">
        <v>40478</v>
      </c>
      <c r="K60" s="39">
        <f>Engagement_Summary[[#This Row],[New_Followers]]-Engagement_Summary[[#This Row],[Unfollows]]</f>
        <v>260</v>
      </c>
    </row>
    <row r="61" spans="1:14" x14ac:dyDescent="0.2">
      <c r="J61" s="38">
        <v>15476</v>
      </c>
      <c r="K61" s="38">
        <f>Engagement_Summary[[#This Row],[New_Followers]]-Engagement_Summary[[#This Row],[Unfollows]]</f>
        <v>1100</v>
      </c>
    </row>
    <row r="62" spans="1:14" x14ac:dyDescent="0.2">
      <c r="J62" s="39">
        <v>10217</v>
      </c>
      <c r="K62" s="39">
        <f>Engagement_Summary[[#This Row],[New_Followers]]-Engagement_Summary[[#This Row],[Unfollows]]</f>
        <v>377</v>
      </c>
    </row>
    <row r="63" spans="1:14" x14ac:dyDescent="0.2">
      <c r="J63" s="38">
        <v>21939</v>
      </c>
      <c r="K63" s="38">
        <f>Engagement_Summary[[#This Row],[New_Followers]]-Engagement_Summary[[#This Row],[Unfollows]]</f>
        <v>98</v>
      </c>
    </row>
    <row r="64" spans="1:14" x14ac:dyDescent="0.2">
      <c r="J64" s="39">
        <v>47462</v>
      </c>
      <c r="K64" s="39">
        <f>Engagement_Summary[[#This Row],[New_Followers]]-Engagement_Summary[[#This Row],[Unfollows]]</f>
        <v>1125</v>
      </c>
    </row>
    <row r="65" spans="10:11" x14ac:dyDescent="0.2">
      <c r="J65" s="38">
        <v>30270</v>
      </c>
      <c r="K65" s="38">
        <f>Engagement_Summary[[#This Row],[New_Followers]]-Engagement_Summary[[#This Row],[Unfollows]]</f>
        <v>-32</v>
      </c>
    </row>
    <row r="66" spans="10:11" x14ac:dyDescent="0.2">
      <c r="J66" s="39">
        <v>5442</v>
      </c>
      <c r="K66" s="39">
        <f>Engagement_Summary[[#This Row],[New_Followers]]-Engagement_Summary[[#This Row],[Unfollows]]</f>
        <v>666</v>
      </c>
    </row>
    <row r="67" spans="10:11" x14ac:dyDescent="0.2">
      <c r="J67" s="38">
        <v>1083</v>
      </c>
      <c r="K67" s="38">
        <f>Engagement_Summary[[#This Row],[New_Followers]]-Engagement_Summary[[#This Row],[Unfollows]]</f>
        <v>-19</v>
      </c>
    </row>
    <row r="68" spans="10:11" x14ac:dyDescent="0.2">
      <c r="J68" s="39">
        <v>11901</v>
      </c>
      <c r="K68" s="39">
        <f>Engagement_Summary[[#This Row],[New_Followers]]-Engagement_Summary[[#This Row],[Unfollows]]</f>
        <v>1680</v>
      </c>
    </row>
    <row r="69" spans="10:11" x14ac:dyDescent="0.2">
      <c r="J69" s="38">
        <v>24018</v>
      </c>
      <c r="K69" s="38">
        <f>Engagement_Summary[[#This Row],[New_Followers]]-Engagement_Summary[[#This Row],[Unfollows]]</f>
        <v>1006</v>
      </c>
    </row>
    <row r="70" spans="10:11" x14ac:dyDescent="0.2">
      <c r="J70" s="39">
        <v>38883</v>
      </c>
      <c r="K70" s="39">
        <f>Engagement_Summary[[#This Row],[New_Followers]]-Engagement_Summary[[#This Row],[Unfollows]]</f>
        <v>1025</v>
      </c>
    </row>
    <row r="71" spans="10:11" x14ac:dyDescent="0.2">
      <c r="J71" s="38">
        <v>30575</v>
      </c>
      <c r="K71" s="38">
        <f>Engagement_Summary[[#This Row],[New_Followers]]-Engagement_Summary[[#This Row],[Unfollows]]</f>
        <v>-179</v>
      </c>
    </row>
    <row r="72" spans="10:11" x14ac:dyDescent="0.2">
      <c r="J72" s="39">
        <v>2315</v>
      </c>
      <c r="K72" s="39">
        <f>Engagement_Summary[[#This Row],[New_Followers]]-Engagement_Summary[[#This Row],[Unfollows]]</f>
        <v>599</v>
      </c>
    </row>
    <row r="73" spans="10:11" x14ac:dyDescent="0.2">
      <c r="J73" s="38">
        <v>12148</v>
      </c>
      <c r="K73" s="38">
        <f>Engagement_Summary[[#This Row],[New_Followers]]-Engagement_Summary[[#This Row],[Unfollows]]</f>
        <v>1706</v>
      </c>
    </row>
    <row r="74" spans="10:11" x14ac:dyDescent="0.2">
      <c r="J74" s="39">
        <v>36851</v>
      </c>
      <c r="K74" s="39">
        <f>Engagement_Summary[[#This Row],[New_Followers]]-Engagement_Summary[[#This Row],[Unfollows]]</f>
        <v>1872</v>
      </c>
    </row>
    <row r="75" spans="10:11" x14ac:dyDescent="0.2">
      <c r="J75" s="38">
        <v>41215</v>
      </c>
      <c r="K75" s="38">
        <f>Engagement_Summary[[#This Row],[New_Followers]]-Engagement_Summary[[#This Row],[Unfollows]]</f>
        <v>1662</v>
      </c>
    </row>
    <row r="76" spans="10:11" x14ac:dyDescent="0.2">
      <c r="J76" s="39">
        <v>43836</v>
      </c>
      <c r="K76" s="39">
        <f>Engagement_Summary[[#This Row],[New_Followers]]-Engagement_Summary[[#This Row],[Unfollows]]</f>
        <v>107</v>
      </c>
    </row>
    <row r="77" spans="10:11" x14ac:dyDescent="0.2">
      <c r="J77" s="38">
        <v>4509</v>
      </c>
      <c r="K77" s="38">
        <f>Engagement_Summary[[#This Row],[New_Followers]]-Engagement_Summary[[#This Row],[Unfollows]]</f>
        <v>118</v>
      </c>
    </row>
    <row r="78" spans="10:11" x14ac:dyDescent="0.2">
      <c r="J78" s="39">
        <v>27822</v>
      </c>
      <c r="K78" s="39">
        <f>Engagement_Summary[[#This Row],[New_Followers]]-Engagement_Summary[[#This Row],[Unfollows]]</f>
        <v>1224</v>
      </c>
    </row>
    <row r="79" spans="10:11" x14ac:dyDescent="0.2">
      <c r="J79" s="38">
        <v>36397</v>
      </c>
      <c r="K79" s="38">
        <f>Engagement_Summary[[#This Row],[New_Followers]]-Engagement_Summary[[#This Row],[Unfollows]]</f>
        <v>285</v>
      </c>
    </row>
    <row r="80" spans="10:11" x14ac:dyDescent="0.2">
      <c r="J80" s="39">
        <v>7285</v>
      </c>
      <c r="K80" s="39">
        <f>Engagement_Summary[[#This Row],[New_Followers]]-Engagement_Summary[[#This Row],[Unfollows]]</f>
        <v>-20</v>
      </c>
    </row>
    <row r="81" spans="10:11" x14ac:dyDescent="0.2">
      <c r="J81" s="38">
        <v>33174</v>
      </c>
      <c r="K81" s="38">
        <f>Engagement_Summary[[#This Row],[New_Followers]]-Engagement_Summary[[#This Row],[Unfollows]]</f>
        <v>367</v>
      </c>
    </row>
    <row r="82" spans="10:11" x14ac:dyDescent="0.2">
      <c r="J82" s="39">
        <v>6742</v>
      </c>
      <c r="K82" s="39">
        <f>Engagement_Summary[[#This Row],[New_Followers]]-Engagement_Summary[[#This Row],[Unfollows]]</f>
        <v>262</v>
      </c>
    </row>
    <row r="83" spans="10:11" x14ac:dyDescent="0.2">
      <c r="J83" s="38">
        <v>32478</v>
      </c>
      <c r="K83" s="38">
        <f>Engagement_Summary[[#This Row],[New_Followers]]-Engagement_Summary[[#This Row],[Unfollows]]</f>
        <v>439</v>
      </c>
    </row>
    <row r="84" spans="10:11" x14ac:dyDescent="0.2">
      <c r="J84" s="39">
        <v>42824</v>
      </c>
      <c r="K84" s="39">
        <f>Engagement_Summary[[#This Row],[New_Followers]]-Engagement_Summary[[#This Row],[Unfollows]]</f>
        <v>636</v>
      </c>
    </row>
    <row r="85" spans="10:11" x14ac:dyDescent="0.2">
      <c r="J85" s="38">
        <v>21208</v>
      </c>
      <c r="K85" s="38">
        <f>Engagement_Summary[[#This Row],[New_Followers]]-Engagement_Summary[[#This Row],[Unfollows]]</f>
        <v>1484</v>
      </c>
    </row>
    <row r="86" spans="10:11" x14ac:dyDescent="0.2">
      <c r="J86" s="39">
        <v>44321</v>
      </c>
      <c r="K86" s="39">
        <f>Engagement_Summary[[#This Row],[New_Followers]]-Engagement_Summary[[#This Row],[Unfollows]]</f>
        <v>576</v>
      </c>
    </row>
    <row r="87" spans="10:11" x14ac:dyDescent="0.2">
      <c r="J87" s="38">
        <v>13116</v>
      </c>
      <c r="K87" s="38">
        <f>Engagement_Summary[[#This Row],[New_Followers]]-Engagement_Summary[[#This Row],[Unfollows]]</f>
        <v>386</v>
      </c>
    </row>
    <row r="88" spans="10:11" x14ac:dyDescent="0.2">
      <c r="J88" s="39">
        <v>30214</v>
      </c>
      <c r="K88" s="39">
        <f>Engagement_Summary[[#This Row],[New_Followers]]-Engagement_Summary[[#This Row],[Unfollows]]</f>
        <v>37</v>
      </c>
    </row>
    <row r="89" spans="10:11" x14ac:dyDescent="0.2">
      <c r="J89" s="38">
        <v>15827</v>
      </c>
      <c r="K89" s="38">
        <f>Engagement_Summary[[#This Row],[New_Followers]]-Engagement_Summary[[#This Row],[Unfollows]]</f>
        <v>1657</v>
      </c>
    </row>
    <row r="90" spans="10:11" x14ac:dyDescent="0.2">
      <c r="J90" s="39">
        <v>46643</v>
      </c>
      <c r="K90" s="39">
        <f>Engagement_Summary[[#This Row],[New_Followers]]-Engagement_Summary[[#This Row],[Unfollows]]</f>
        <v>1397</v>
      </c>
    </row>
    <row r="91" spans="10:11" x14ac:dyDescent="0.2">
      <c r="J91" s="38">
        <v>36484</v>
      </c>
      <c r="K91" s="38">
        <f>Engagement_Summary[[#This Row],[New_Followers]]-Engagement_Summary[[#This Row],[Unfollows]]</f>
        <v>540</v>
      </c>
    </row>
    <row r="92" spans="10:11" x14ac:dyDescent="0.2">
      <c r="J92" s="39">
        <v>4996</v>
      </c>
      <c r="K92" s="39">
        <f>Engagement_Summary[[#This Row],[New_Followers]]-Engagement_Summary[[#This Row],[Unfollows]]</f>
        <v>1603</v>
      </c>
    </row>
    <row r="93" spans="10:11" x14ac:dyDescent="0.2">
      <c r="J93" s="38">
        <v>36095</v>
      </c>
      <c r="K93" s="38">
        <f>Engagement_Summary[[#This Row],[New_Followers]]-Engagement_Summary[[#This Row],[Unfollows]]</f>
        <v>1044</v>
      </c>
    </row>
    <row r="94" spans="10:11" x14ac:dyDescent="0.2">
      <c r="J94" s="39">
        <v>16443</v>
      </c>
      <c r="K94" s="39">
        <f>Engagement_Summary[[#This Row],[New_Followers]]-Engagement_Summary[[#This Row],[Unfollows]]</f>
        <v>902</v>
      </c>
    </row>
    <row r="95" spans="10:11" x14ac:dyDescent="0.2">
      <c r="J95" s="38">
        <v>47812</v>
      </c>
      <c r="K95" s="38">
        <f>Engagement_Summary[[#This Row],[New_Followers]]-Engagement_Summary[[#This Row],[Unfollows]]</f>
        <v>-106</v>
      </c>
    </row>
    <row r="96" spans="10:11" x14ac:dyDescent="0.2">
      <c r="J96" s="39">
        <v>38452</v>
      </c>
      <c r="K96" s="39">
        <f>Engagement_Summary[[#This Row],[New_Followers]]-Engagement_Summary[[#This Row],[Unfollows]]</f>
        <v>1150</v>
      </c>
    </row>
    <row r="97" spans="10:11" x14ac:dyDescent="0.2">
      <c r="J97" s="38">
        <v>30428</v>
      </c>
      <c r="K97" s="38">
        <f>Engagement_Summary[[#This Row],[New_Followers]]-Engagement_Summary[[#This Row],[Unfollows]]</f>
        <v>349</v>
      </c>
    </row>
    <row r="98" spans="10:11" x14ac:dyDescent="0.2">
      <c r="J98" s="39">
        <v>9269</v>
      </c>
      <c r="K98" s="39">
        <f>Engagement_Summary[[#This Row],[New_Followers]]-Engagement_Summary[[#This Row],[Unfollows]]</f>
        <v>-49</v>
      </c>
    </row>
    <row r="99" spans="10:11" x14ac:dyDescent="0.2">
      <c r="J99" s="38">
        <v>29533</v>
      </c>
      <c r="K99" s="38">
        <f>Engagement_Summary[[#This Row],[New_Followers]]-Engagement_Summary[[#This Row],[Unfollows]]</f>
        <v>72</v>
      </c>
    </row>
    <row r="100" spans="10:11" x14ac:dyDescent="0.2">
      <c r="J100" s="39">
        <v>39997</v>
      </c>
      <c r="K100" s="39">
        <f>Engagement_Summary[[#This Row],[New_Followers]]-Engagement_Summary[[#This Row],[Unfollows]]</f>
        <v>445</v>
      </c>
    </row>
    <row r="101" spans="10:11" x14ac:dyDescent="0.2">
      <c r="J101" s="38">
        <v>5391</v>
      </c>
      <c r="K101" s="38">
        <f>Engagement_Summary[[#This Row],[New_Followers]]-Engagement_Summary[[#This Row],[Unfollows]]</f>
        <v>60</v>
      </c>
    </row>
    <row r="102" spans="10:11" x14ac:dyDescent="0.2">
      <c r="J102" s="39">
        <v>22373</v>
      </c>
      <c r="K102" s="39">
        <f>Engagement_Summary[[#This Row],[New_Followers]]-Engagement_Summary[[#This Row],[Unfollows]]</f>
        <v>1693</v>
      </c>
    </row>
    <row r="103" spans="10:11" x14ac:dyDescent="0.2">
      <c r="J103" s="38">
        <v>1810</v>
      </c>
      <c r="K103" s="38">
        <f>Engagement_Summary[[#This Row],[New_Followers]]-Engagement_Summary[[#This Row],[Unfollows]]</f>
        <v>1332</v>
      </c>
    </row>
    <row r="104" spans="10:11" x14ac:dyDescent="0.2">
      <c r="J104" s="39">
        <v>28498</v>
      </c>
      <c r="K104" s="39">
        <f>Engagement_Summary[[#This Row],[New_Followers]]-Engagement_Summary[[#This Row],[Unfollows]]</f>
        <v>98</v>
      </c>
    </row>
    <row r="105" spans="10:11" x14ac:dyDescent="0.2">
      <c r="J105" s="38">
        <v>39530</v>
      </c>
      <c r="K105" s="38">
        <f>Engagement_Summary[[#This Row],[New_Followers]]-Engagement_Summary[[#This Row],[Unfollows]]</f>
        <v>885</v>
      </c>
    </row>
    <row r="106" spans="10:11" x14ac:dyDescent="0.2">
      <c r="J106" s="39">
        <v>37876</v>
      </c>
      <c r="K106" s="39">
        <f>Engagement_Summary[[#This Row],[New_Followers]]-Engagement_Summary[[#This Row],[Unfollows]]</f>
        <v>1625</v>
      </c>
    </row>
    <row r="107" spans="10:11" x14ac:dyDescent="0.2">
      <c r="J107" s="38">
        <v>36103</v>
      </c>
      <c r="K107" s="38">
        <f>Engagement_Summary[[#This Row],[New_Followers]]-Engagement_Summary[[#This Row],[Unfollows]]</f>
        <v>1706</v>
      </c>
    </row>
    <row r="108" spans="10:11" x14ac:dyDescent="0.2">
      <c r="J108" s="39">
        <v>26103</v>
      </c>
      <c r="K108" s="39">
        <f>Engagement_Summary[[#This Row],[New_Followers]]-Engagement_Summary[[#This Row],[Unfollows]]</f>
        <v>1173</v>
      </c>
    </row>
    <row r="109" spans="10:11" x14ac:dyDescent="0.2">
      <c r="J109" s="38">
        <v>3455</v>
      </c>
      <c r="K109" s="38">
        <f>Engagement_Summary[[#This Row],[New_Followers]]-Engagement_Summary[[#This Row],[Unfollows]]</f>
        <v>291</v>
      </c>
    </row>
    <row r="110" spans="10:11" x14ac:dyDescent="0.2">
      <c r="J110" s="39">
        <v>40888</v>
      </c>
      <c r="K110" s="39">
        <f>Engagement_Summary[[#This Row],[New_Followers]]-Engagement_Summary[[#This Row],[Unfollows]]</f>
        <v>1119</v>
      </c>
    </row>
    <row r="111" spans="10:11" x14ac:dyDescent="0.2">
      <c r="J111" s="38">
        <v>22724</v>
      </c>
      <c r="K111" s="38">
        <f>Engagement_Summary[[#This Row],[New_Followers]]-Engagement_Summary[[#This Row],[Unfollows]]</f>
        <v>1373</v>
      </c>
    </row>
    <row r="112" spans="10:11" x14ac:dyDescent="0.2">
      <c r="J112" s="39">
        <v>18601</v>
      </c>
      <c r="K112" s="39">
        <f>Engagement_Summary[[#This Row],[New_Followers]]-Engagement_Summary[[#This Row],[Unfollows]]</f>
        <v>1727</v>
      </c>
    </row>
    <row r="113" spans="10:11" x14ac:dyDescent="0.2">
      <c r="J113" s="38">
        <v>20861</v>
      </c>
      <c r="K113" s="38">
        <f>Engagement_Summary[[#This Row],[New_Followers]]-Engagement_Summary[[#This Row],[Unfollows]]</f>
        <v>573</v>
      </c>
    </row>
    <row r="114" spans="10:11" x14ac:dyDescent="0.2">
      <c r="J114" s="39">
        <v>46625</v>
      </c>
      <c r="K114" s="39">
        <f>Engagement_Summary[[#This Row],[New_Followers]]-Engagement_Summary[[#This Row],[Unfollows]]</f>
        <v>1432</v>
      </c>
    </row>
    <row r="115" spans="10:11" x14ac:dyDescent="0.2">
      <c r="J115" s="38">
        <v>20692</v>
      </c>
      <c r="K115" s="38">
        <f>Engagement_Summary[[#This Row],[New_Followers]]-Engagement_Summary[[#This Row],[Unfollows]]</f>
        <v>1377</v>
      </c>
    </row>
    <row r="116" spans="10:11" x14ac:dyDescent="0.2">
      <c r="J116" s="39">
        <v>18656</v>
      </c>
      <c r="K116" s="39">
        <f>Engagement_Summary[[#This Row],[New_Followers]]-Engagement_Summary[[#This Row],[Unfollows]]</f>
        <v>1359</v>
      </c>
    </row>
    <row r="117" spans="10:11" x14ac:dyDescent="0.2">
      <c r="J117" s="38">
        <v>13316</v>
      </c>
      <c r="K117" s="38">
        <f>Engagement_Summary[[#This Row],[New_Followers]]-Engagement_Summary[[#This Row],[Unfollows]]</f>
        <v>876</v>
      </c>
    </row>
    <row r="118" spans="10:11" x14ac:dyDescent="0.2">
      <c r="J118" s="39">
        <v>49558</v>
      </c>
      <c r="K118" s="39">
        <f>Engagement_Summary[[#This Row],[New_Followers]]-Engagement_Summary[[#This Row],[Unfollows]]</f>
        <v>684</v>
      </c>
    </row>
    <row r="119" spans="10:11" x14ac:dyDescent="0.2">
      <c r="J119" s="38">
        <v>4683</v>
      </c>
      <c r="K119" s="38">
        <f>Engagement_Summary[[#This Row],[New_Followers]]-Engagement_Summary[[#This Row],[Unfollows]]</f>
        <v>730</v>
      </c>
    </row>
    <row r="120" spans="10:11" x14ac:dyDescent="0.2">
      <c r="J120" s="39">
        <v>47502</v>
      </c>
      <c r="K120" s="39">
        <f>Engagement_Summary[[#This Row],[New_Followers]]-Engagement_Summary[[#This Row],[Unfollows]]</f>
        <v>911</v>
      </c>
    </row>
    <row r="121" spans="10:11" x14ac:dyDescent="0.2">
      <c r="J121" s="38">
        <v>35359</v>
      </c>
      <c r="K121" s="38">
        <f>Engagement_Summary[[#This Row],[New_Followers]]-Engagement_Summary[[#This Row],[Unfollows]]</f>
        <v>1589</v>
      </c>
    </row>
    <row r="122" spans="10:11" x14ac:dyDescent="0.2">
      <c r="J122" s="39">
        <v>14154</v>
      </c>
      <c r="K122" s="39">
        <f>Engagement_Summary[[#This Row],[New_Followers]]-Engagement_Summary[[#This Row],[Unfollows]]</f>
        <v>1765</v>
      </c>
    </row>
    <row r="123" spans="10:11" x14ac:dyDescent="0.2">
      <c r="J123" s="38">
        <v>4313</v>
      </c>
      <c r="K123" s="38">
        <f>Engagement_Summary[[#This Row],[New_Followers]]-Engagement_Summary[[#This Row],[Unfollows]]</f>
        <v>1776</v>
      </c>
    </row>
    <row r="124" spans="10:11" x14ac:dyDescent="0.2">
      <c r="J124" s="39">
        <v>25140</v>
      </c>
      <c r="K124" s="39">
        <f>Engagement_Summary[[#This Row],[New_Followers]]-Engagement_Summary[[#This Row],[Unfollows]]</f>
        <v>1529</v>
      </c>
    </row>
    <row r="125" spans="10:11" x14ac:dyDescent="0.2">
      <c r="J125" s="38">
        <v>9118</v>
      </c>
      <c r="K125" s="38">
        <f>Engagement_Summary[[#This Row],[New_Followers]]-Engagement_Summary[[#This Row],[Unfollows]]</f>
        <v>1460</v>
      </c>
    </row>
    <row r="126" spans="10:11" x14ac:dyDescent="0.2">
      <c r="J126" s="39">
        <v>39931</v>
      </c>
      <c r="K126" s="39">
        <f>Engagement_Summary[[#This Row],[New_Followers]]-Engagement_Summary[[#This Row],[Unfollows]]</f>
        <v>903</v>
      </c>
    </row>
    <row r="127" spans="10:11" x14ac:dyDescent="0.2">
      <c r="J127" s="38">
        <v>37132</v>
      </c>
      <c r="K127" s="38">
        <f>Engagement_Summary[[#This Row],[New_Followers]]-Engagement_Summary[[#This Row],[Unfollows]]</f>
        <v>620</v>
      </c>
    </row>
    <row r="128" spans="10:11" x14ac:dyDescent="0.2">
      <c r="J128" s="39">
        <v>17951</v>
      </c>
      <c r="K128" s="39">
        <f>Engagement_Summary[[#This Row],[New_Followers]]-Engagement_Summary[[#This Row],[Unfollows]]</f>
        <v>1188</v>
      </c>
    </row>
    <row r="129" spans="10:11" x14ac:dyDescent="0.2">
      <c r="J129" s="38">
        <v>2798</v>
      </c>
      <c r="K129" s="38">
        <f>Engagement_Summary[[#This Row],[New_Followers]]-Engagement_Summary[[#This Row],[Unfollows]]</f>
        <v>846</v>
      </c>
    </row>
    <row r="130" spans="10:11" x14ac:dyDescent="0.2">
      <c r="J130" s="39">
        <v>15045</v>
      </c>
      <c r="K130" s="39">
        <f>Engagement_Summary[[#This Row],[New_Followers]]-Engagement_Summary[[#This Row],[Unfollows]]</f>
        <v>1722</v>
      </c>
    </row>
    <row r="131" spans="10:11" x14ac:dyDescent="0.2">
      <c r="J131" s="38">
        <v>14548</v>
      </c>
      <c r="K131" s="38">
        <f>Engagement_Summary[[#This Row],[New_Followers]]-Engagement_Summary[[#This Row],[Unfollows]]</f>
        <v>298</v>
      </c>
    </row>
    <row r="132" spans="10:11" x14ac:dyDescent="0.2">
      <c r="J132" s="39">
        <v>45708</v>
      </c>
      <c r="K132" s="39">
        <f>Engagement_Summary[[#This Row],[New_Followers]]-Engagement_Summary[[#This Row],[Unfollows]]</f>
        <v>-144</v>
      </c>
    </row>
    <row r="133" spans="10:11" x14ac:dyDescent="0.2">
      <c r="J133" s="38">
        <v>12350</v>
      </c>
      <c r="K133" s="38">
        <f>Engagement_Summary[[#This Row],[New_Followers]]-Engagement_Summary[[#This Row],[Unfollows]]</f>
        <v>901</v>
      </c>
    </row>
    <row r="134" spans="10:11" x14ac:dyDescent="0.2">
      <c r="J134" s="39">
        <v>40868</v>
      </c>
      <c r="K134" s="39">
        <f>Engagement_Summary[[#This Row],[New_Followers]]-Engagement_Summary[[#This Row],[Unfollows]]</f>
        <v>1572</v>
      </c>
    </row>
    <row r="135" spans="10:11" x14ac:dyDescent="0.2">
      <c r="J135" s="38">
        <v>43122</v>
      </c>
      <c r="K135" s="38">
        <f>Engagement_Summary[[#This Row],[New_Followers]]-Engagement_Summary[[#This Row],[Unfollows]]</f>
        <v>427</v>
      </c>
    </row>
    <row r="136" spans="10:11" x14ac:dyDescent="0.2">
      <c r="J136" s="39">
        <v>23853</v>
      </c>
      <c r="K136" s="39">
        <f>Engagement_Summary[[#This Row],[New_Followers]]-Engagement_Summary[[#This Row],[Unfollows]]</f>
        <v>891</v>
      </c>
    </row>
    <row r="137" spans="10:11" x14ac:dyDescent="0.2">
      <c r="J137" s="38">
        <v>45380</v>
      </c>
      <c r="K137" s="38">
        <f>Engagement_Summary[[#This Row],[New_Followers]]-Engagement_Summary[[#This Row],[Unfollows]]</f>
        <v>724</v>
      </c>
    </row>
    <row r="138" spans="10:11" x14ac:dyDescent="0.2">
      <c r="J138" s="39">
        <v>7705</v>
      </c>
      <c r="K138" s="39">
        <f>Engagement_Summary[[#This Row],[New_Followers]]-Engagement_Summary[[#This Row],[Unfollows]]</f>
        <v>-166</v>
      </c>
    </row>
    <row r="139" spans="10:11" x14ac:dyDescent="0.2">
      <c r="J139" s="38">
        <v>25525</v>
      </c>
      <c r="K139" s="38">
        <f>Engagement_Summary[[#This Row],[New_Followers]]-Engagement_Summary[[#This Row],[Unfollows]]</f>
        <v>898</v>
      </c>
    </row>
    <row r="140" spans="10:11" x14ac:dyDescent="0.2">
      <c r="J140" s="39">
        <v>20560</v>
      </c>
      <c r="K140" s="39">
        <f>Engagement_Summary[[#This Row],[New_Followers]]-Engagement_Summary[[#This Row],[Unfollows]]</f>
        <v>1426</v>
      </c>
    </row>
    <row r="141" spans="10:11" x14ac:dyDescent="0.2">
      <c r="J141" s="38">
        <v>19119</v>
      </c>
      <c r="K141" s="38">
        <f>Engagement_Summary[[#This Row],[New_Followers]]-Engagement_Summary[[#This Row],[Unfollows]]</f>
        <v>1225</v>
      </c>
    </row>
    <row r="142" spans="10:11" x14ac:dyDescent="0.2">
      <c r="J142" s="39">
        <v>43999</v>
      </c>
      <c r="K142" s="39">
        <f>Engagement_Summary[[#This Row],[New_Followers]]-Engagement_Summary[[#This Row],[Unfollows]]</f>
        <v>1080</v>
      </c>
    </row>
    <row r="143" spans="10:11" x14ac:dyDescent="0.2">
      <c r="J143" s="38">
        <v>10825</v>
      </c>
      <c r="K143" s="38">
        <f>Engagement_Summary[[#This Row],[New_Followers]]-Engagement_Summary[[#This Row],[Unfollows]]</f>
        <v>748</v>
      </c>
    </row>
    <row r="144" spans="10:11" x14ac:dyDescent="0.2">
      <c r="J144" s="39">
        <v>40323</v>
      </c>
      <c r="K144" s="39">
        <f>Engagement_Summary[[#This Row],[New_Followers]]-Engagement_Summary[[#This Row],[Unfollows]]</f>
        <v>569</v>
      </c>
    </row>
    <row r="145" spans="10:11" x14ac:dyDescent="0.2">
      <c r="J145" s="38">
        <v>48270</v>
      </c>
      <c r="K145" s="38">
        <f>Engagement_Summary[[#This Row],[New_Followers]]-Engagement_Summary[[#This Row],[Unfollows]]</f>
        <v>-203</v>
      </c>
    </row>
    <row r="146" spans="10:11" x14ac:dyDescent="0.2">
      <c r="J146" s="39">
        <v>18001</v>
      </c>
      <c r="K146" s="39">
        <f>Engagement_Summary[[#This Row],[New_Followers]]-Engagement_Summary[[#This Row],[Unfollows]]</f>
        <v>1723</v>
      </c>
    </row>
    <row r="147" spans="10:11" x14ac:dyDescent="0.2">
      <c r="J147" s="38">
        <v>3314</v>
      </c>
      <c r="K147" s="38">
        <f>Engagement_Summary[[#This Row],[New_Followers]]-Engagement_Summary[[#This Row],[Unfollows]]</f>
        <v>912</v>
      </c>
    </row>
    <row r="148" spans="10:11" x14ac:dyDescent="0.2">
      <c r="J148" s="39">
        <v>23489</v>
      </c>
      <c r="K148" s="39">
        <f>Engagement_Summary[[#This Row],[New_Followers]]-Engagement_Summary[[#This Row],[Unfollows]]</f>
        <v>1202</v>
      </c>
    </row>
    <row r="149" spans="10:11" x14ac:dyDescent="0.2">
      <c r="J149" s="38">
        <v>42832</v>
      </c>
      <c r="K149" s="38">
        <f>Engagement_Summary[[#This Row],[New_Followers]]-Engagement_Summary[[#This Row],[Unfollows]]</f>
        <v>1444</v>
      </c>
    </row>
    <row r="150" spans="10:11" x14ac:dyDescent="0.2">
      <c r="J150" s="39">
        <v>24494</v>
      </c>
      <c r="K150" s="39">
        <f>Engagement_Summary[[#This Row],[New_Followers]]-Engagement_Summary[[#This Row],[Unfollows]]</f>
        <v>965</v>
      </c>
    </row>
    <row r="151" spans="10:11" x14ac:dyDescent="0.2">
      <c r="J151" s="38">
        <v>44097</v>
      </c>
      <c r="K151" s="38">
        <f>Engagement_Summary[[#This Row],[New_Followers]]-Engagement_Summary[[#This Row],[Unfollows]]</f>
        <v>1590</v>
      </c>
    </row>
    <row r="152" spans="10:11" x14ac:dyDescent="0.2">
      <c r="J152" s="39">
        <v>31853</v>
      </c>
      <c r="K152" s="39">
        <f>Engagement_Summary[[#This Row],[New_Followers]]-Engagement_Summary[[#This Row],[Unfollows]]</f>
        <v>-37</v>
      </c>
    </row>
    <row r="153" spans="10:11" x14ac:dyDescent="0.2">
      <c r="J153" s="38">
        <v>37636</v>
      </c>
      <c r="K153" s="38">
        <f>Engagement_Summary[[#This Row],[New_Followers]]-Engagement_Summary[[#This Row],[Unfollows]]</f>
        <v>1175</v>
      </c>
    </row>
    <row r="154" spans="10:11" x14ac:dyDescent="0.2">
      <c r="J154" s="39">
        <v>22996</v>
      </c>
      <c r="K154" s="39">
        <f>Engagement_Summary[[#This Row],[New_Followers]]-Engagement_Summary[[#This Row],[Unfollows]]</f>
        <v>1375</v>
      </c>
    </row>
    <row r="155" spans="10:11" x14ac:dyDescent="0.2">
      <c r="J155" s="38">
        <v>49772</v>
      </c>
      <c r="K155" s="38">
        <f>Engagement_Summary[[#This Row],[New_Followers]]-Engagement_Summary[[#This Row],[Unfollows]]</f>
        <v>1707</v>
      </c>
    </row>
    <row r="156" spans="10:11" x14ac:dyDescent="0.2">
      <c r="J156" s="39">
        <v>22713</v>
      </c>
      <c r="K156" s="39">
        <f>Engagement_Summary[[#This Row],[New_Followers]]-Engagement_Summary[[#This Row],[Unfollows]]</f>
        <v>708</v>
      </c>
    </row>
    <row r="157" spans="10:11" x14ac:dyDescent="0.2">
      <c r="J157" s="38">
        <v>8718</v>
      </c>
      <c r="K157" s="38">
        <f>Engagement_Summary[[#This Row],[New_Followers]]-Engagement_Summary[[#This Row],[Unfollows]]</f>
        <v>1016</v>
      </c>
    </row>
    <row r="158" spans="10:11" x14ac:dyDescent="0.2">
      <c r="J158" s="39">
        <v>39031</v>
      </c>
      <c r="K158" s="39">
        <f>Engagement_Summary[[#This Row],[New_Followers]]-Engagement_Summary[[#This Row],[Unfollows]]</f>
        <v>1315</v>
      </c>
    </row>
    <row r="159" spans="10:11" x14ac:dyDescent="0.2">
      <c r="J159" s="38">
        <v>33799</v>
      </c>
      <c r="K159" s="38">
        <f>Engagement_Summary[[#This Row],[New_Followers]]-Engagement_Summary[[#This Row],[Unfollows]]</f>
        <v>-119</v>
      </c>
    </row>
    <row r="160" spans="10:11" x14ac:dyDescent="0.2">
      <c r="J160" s="39">
        <v>20553</v>
      </c>
      <c r="K160" s="39">
        <f>Engagement_Summary[[#This Row],[New_Followers]]-Engagement_Summary[[#This Row],[Unfollows]]</f>
        <v>899</v>
      </c>
    </row>
    <row r="161" spans="10:11" x14ac:dyDescent="0.2">
      <c r="J161" s="38">
        <v>10002</v>
      </c>
      <c r="K161" s="38">
        <f>Engagement_Summary[[#This Row],[New_Followers]]-Engagement_Summary[[#This Row],[Unfollows]]</f>
        <v>315</v>
      </c>
    </row>
    <row r="162" spans="10:11" x14ac:dyDescent="0.2">
      <c r="J162" s="39">
        <v>30987</v>
      </c>
      <c r="K162" s="39">
        <f>Engagement_Summary[[#This Row],[New_Followers]]-Engagement_Summary[[#This Row],[Unfollows]]</f>
        <v>212</v>
      </c>
    </row>
    <row r="163" spans="10:11" x14ac:dyDescent="0.2">
      <c r="J163" s="38">
        <v>6296</v>
      </c>
      <c r="K163" s="38">
        <f>Engagement_Summary[[#This Row],[New_Followers]]-Engagement_Summary[[#This Row],[Unfollows]]</f>
        <v>908</v>
      </c>
    </row>
    <row r="164" spans="10:11" x14ac:dyDescent="0.2">
      <c r="J164" s="39">
        <v>21539</v>
      </c>
      <c r="K164" s="39">
        <f>Engagement_Summary[[#This Row],[New_Followers]]-Engagement_Summary[[#This Row],[Unfollows]]</f>
        <v>1350</v>
      </c>
    </row>
    <row r="165" spans="10:11" x14ac:dyDescent="0.2">
      <c r="J165" s="38">
        <v>14722</v>
      </c>
      <c r="K165" s="38">
        <f>Engagement_Summary[[#This Row],[New_Followers]]-Engagement_Summary[[#This Row],[Unfollows]]</f>
        <v>1242</v>
      </c>
    </row>
    <row r="166" spans="10:11" x14ac:dyDescent="0.2">
      <c r="J166" s="39">
        <v>11383</v>
      </c>
      <c r="K166" s="39">
        <f>Engagement_Summary[[#This Row],[New_Followers]]-Engagement_Summary[[#This Row],[Unfollows]]</f>
        <v>680</v>
      </c>
    </row>
    <row r="167" spans="10:11" x14ac:dyDescent="0.2">
      <c r="J167" s="38">
        <v>9480</v>
      </c>
      <c r="K167" s="38">
        <f>Engagement_Summary[[#This Row],[New_Followers]]-Engagement_Summary[[#This Row],[Unfollows]]</f>
        <v>1116</v>
      </c>
    </row>
    <row r="168" spans="10:11" x14ac:dyDescent="0.2">
      <c r="J168" s="39">
        <v>29116</v>
      </c>
      <c r="K168" s="39">
        <f>Engagement_Summary[[#This Row],[New_Followers]]-Engagement_Summary[[#This Row],[Unfollows]]</f>
        <v>861</v>
      </c>
    </row>
    <row r="169" spans="10:11" x14ac:dyDescent="0.2">
      <c r="J169" s="38">
        <v>14068</v>
      </c>
      <c r="K169" s="38">
        <f>Engagement_Summary[[#This Row],[New_Followers]]-Engagement_Summary[[#This Row],[Unfollows]]</f>
        <v>1385</v>
      </c>
    </row>
    <row r="170" spans="10:11" x14ac:dyDescent="0.2">
      <c r="J170" s="39">
        <v>35801</v>
      </c>
      <c r="K170" s="39">
        <f>Engagement_Summary[[#This Row],[New_Followers]]-Engagement_Summary[[#This Row],[Unfollows]]</f>
        <v>461</v>
      </c>
    </row>
    <row r="171" spans="10:11" x14ac:dyDescent="0.2">
      <c r="J171" s="38">
        <v>49077</v>
      </c>
      <c r="K171" s="38">
        <f>Engagement_Summary[[#This Row],[New_Followers]]-Engagement_Summary[[#This Row],[Unfollows]]</f>
        <v>474</v>
      </c>
    </row>
    <row r="172" spans="10:11" x14ac:dyDescent="0.2">
      <c r="J172" s="39">
        <v>21453</v>
      </c>
      <c r="K172" s="39">
        <f>Engagement_Summary[[#This Row],[New_Followers]]-Engagement_Summary[[#This Row],[Unfollows]]</f>
        <v>292</v>
      </c>
    </row>
    <row r="173" spans="10:11" x14ac:dyDescent="0.2">
      <c r="J173" s="38">
        <v>21061</v>
      </c>
      <c r="K173" s="38">
        <f>Engagement_Summary[[#This Row],[New_Followers]]-Engagement_Summary[[#This Row],[Unfollows]]</f>
        <v>389</v>
      </c>
    </row>
    <row r="174" spans="10:11" x14ac:dyDescent="0.2">
      <c r="J174" s="39">
        <v>20059</v>
      </c>
      <c r="K174" s="39">
        <f>Engagement_Summary[[#This Row],[New_Followers]]-Engagement_Summary[[#This Row],[Unfollows]]</f>
        <v>641</v>
      </c>
    </row>
    <row r="175" spans="10:11" x14ac:dyDescent="0.2">
      <c r="J175" s="38">
        <v>23140</v>
      </c>
      <c r="K175" s="38">
        <f>Engagement_Summary[[#This Row],[New_Followers]]-Engagement_Summary[[#This Row],[Unfollows]]</f>
        <v>514</v>
      </c>
    </row>
    <row r="176" spans="10:11" x14ac:dyDescent="0.2">
      <c r="J176" s="39">
        <v>23461</v>
      </c>
      <c r="K176" s="39">
        <f>Engagement_Summary[[#This Row],[New_Followers]]-Engagement_Summary[[#This Row],[Unfollows]]</f>
        <v>1676</v>
      </c>
    </row>
    <row r="177" spans="10:11" x14ac:dyDescent="0.2">
      <c r="J177" s="38">
        <v>11805</v>
      </c>
      <c r="K177" s="38">
        <f>Engagement_Summary[[#This Row],[New_Followers]]-Engagement_Summary[[#This Row],[Unfollows]]</f>
        <v>1467</v>
      </c>
    </row>
    <row r="178" spans="10:11" x14ac:dyDescent="0.2">
      <c r="J178" s="39">
        <v>15969</v>
      </c>
      <c r="K178" s="39">
        <f>Engagement_Summary[[#This Row],[New_Followers]]-Engagement_Summary[[#This Row],[Unfollows]]</f>
        <v>167</v>
      </c>
    </row>
    <row r="179" spans="10:11" x14ac:dyDescent="0.2">
      <c r="J179" s="38">
        <v>2436</v>
      </c>
      <c r="K179" s="38">
        <f>Engagement_Summary[[#This Row],[New_Followers]]-Engagement_Summary[[#This Row],[Unfollows]]</f>
        <v>1029</v>
      </c>
    </row>
    <row r="180" spans="10:11" x14ac:dyDescent="0.2">
      <c r="J180" s="39">
        <v>47603</v>
      </c>
      <c r="K180" s="39">
        <f>Engagement_Summary[[#This Row],[New_Followers]]-Engagement_Summary[[#This Row],[Unfollows]]</f>
        <v>1007</v>
      </c>
    </row>
    <row r="181" spans="10:11" x14ac:dyDescent="0.2">
      <c r="J181" s="38">
        <v>42964</v>
      </c>
      <c r="K181" s="38">
        <f>Engagement_Summary[[#This Row],[New_Followers]]-Engagement_Summary[[#This Row],[Unfollows]]</f>
        <v>209</v>
      </c>
    </row>
    <row r="182" spans="10:11" x14ac:dyDescent="0.2">
      <c r="J182" s="39">
        <v>39923</v>
      </c>
      <c r="K182" s="39">
        <f>Engagement_Summary[[#This Row],[New_Followers]]-Engagement_Summary[[#This Row],[Unfollows]]</f>
        <v>-160</v>
      </c>
    </row>
    <row r="183" spans="10:11" x14ac:dyDescent="0.2">
      <c r="J183" s="38">
        <v>2293</v>
      </c>
      <c r="K183" s="38">
        <f>Engagement_Summary[[#This Row],[New_Followers]]-Engagement_Summary[[#This Row],[Unfollows]]</f>
        <v>-175</v>
      </c>
    </row>
    <row r="184" spans="10:11" x14ac:dyDescent="0.2">
      <c r="J184" s="39">
        <v>25920</v>
      </c>
      <c r="K184" s="39">
        <f>Engagement_Summary[[#This Row],[New_Followers]]-Engagement_Summary[[#This Row],[Unfollows]]</f>
        <v>53</v>
      </c>
    </row>
    <row r="185" spans="10:11" x14ac:dyDescent="0.2">
      <c r="J185" s="38">
        <v>11035</v>
      </c>
      <c r="K185" s="38">
        <f>Engagement_Summary[[#This Row],[New_Followers]]-Engagement_Summary[[#This Row],[Unfollows]]</f>
        <v>145</v>
      </c>
    </row>
    <row r="186" spans="10:11" x14ac:dyDescent="0.2">
      <c r="J186" s="39">
        <v>20733</v>
      </c>
      <c r="K186" s="39">
        <f>Engagement_Summary[[#This Row],[New_Followers]]-Engagement_Summary[[#This Row],[Unfollows]]</f>
        <v>603</v>
      </c>
    </row>
    <row r="187" spans="10:11" x14ac:dyDescent="0.2">
      <c r="J187" s="38">
        <v>18693</v>
      </c>
      <c r="K187" s="38">
        <f>Engagement_Summary[[#This Row],[New_Followers]]-Engagement_Summary[[#This Row],[Unfollows]]</f>
        <v>1045</v>
      </c>
    </row>
    <row r="188" spans="10:11" x14ac:dyDescent="0.2">
      <c r="J188" s="39">
        <v>7875</v>
      </c>
      <c r="K188" s="39">
        <f>Engagement_Summary[[#This Row],[New_Followers]]-Engagement_Summary[[#This Row],[Unfollows]]</f>
        <v>759</v>
      </c>
    </row>
    <row r="189" spans="10:11" x14ac:dyDescent="0.2">
      <c r="J189" s="38">
        <v>8471</v>
      </c>
      <c r="K189" s="38">
        <f>Engagement_Summary[[#This Row],[New_Followers]]-Engagement_Summary[[#This Row],[Unfollows]]</f>
        <v>1633</v>
      </c>
    </row>
    <row r="190" spans="10:11" x14ac:dyDescent="0.2">
      <c r="J190" s="39">
        <v>14090</v>
      </c>
      <c r="K190" s="39">
        <f>Engagement_Summary[[#This Row],[New_Followers]]-Engagement_Summary[[#This Row],[Unfollows]]</f>
        <v>1539</v>
      </c>
    </row>
    <row r="191" spans="10:11" x14ac:dyDescent="0.2">
      <c r="J191" s="38">
        <v>14216</v>
      </c>
      <c r="K191" s="38">
        <f>Engagement_Summary[[#This Row],[New_Followers]]-Engagement_Summary[[#This Row],[Unfollows]]</f>
        <v>453</v>
      </c>
    </row>
    <row r="192" spans="10:11" x14ac:dyDescent="0.2">
      <c r="J192" s="39">
        <v>3582</v>
      </c>
      <c r="K192" s="39">
        <f>Engagement_Summary[[#This Row],[New_Followers]]-Engagement_Summary[[#This Row],[Unfollows]]</f>
        <v>948</v>
      </c>
    </row>
    <row r="193" spans="10:11" x14ac:dyDescent="0.2">
      <c r="J193" s="38">
        <v>32500</v>
      </c>
      <c r="K193" s="38">
        <f>Engagement_Summary[[#This Row],[New_Followers]]-Engagement_Summary[[#This Row],[Unfollows]]</f>
        <v>637</v>
      </c>
    </row>
    <row r="194" spans="10:11" x14ac:dyDescent="0.2">
      <c r="J194" s="39">
        <v>6832</v>
      </c>
      <c r="K194" s="39">
        <f>Engagement_Summary[[#This Row],[New_Followers]]-Engagement_Summary[[#This Row],[Unfollows]]</f>
        <v>1881</v>
      </c>
    </row>
    <row r="195" spans="10:11" x14ac:dyDescent="0.2">
      <c r="J195" s="38">
        <v>33381</v>
      </c>
      <c r="K195" s="38">
        <f>Engagement_Summary[[#This Row],[New_Followers]]-Engagement_Summary[[#This Row],[Unfollows]]</f>
        <v>339</v>
      </c>
    </row>
    <row r="196" spans="10:11" x14ac:dyDescent="0.2">
      <c r="J196" s="39">
        <v>48419</v>
      </c>
      <c r="K196" s="39">
        <f>Engagement_Summary[[#This Row],[New_Followers]]-Engagement_Summary[[#This Row],[Unfollows]]</f>
        <v>1510</v>
      </c>
    </row>
    <row r="197" spans="10:11" x14ac:dyDescent="0.2">
      <c r="J197" s="38">
        <v>16149</v>
      </c>
      <c r="K197" s="38">
        <f>Engagement_Summary[[#This Row],[New_Followers]]-Engagement_Summary[[#This Row],[Unfollows]]</f>
        <v>864</v>
      </c>
    </row>
    <row r="198" spans="10:11" x14ac:dyDescent="0.2">
      <c r="J198" s="39">
        <v>7541</v>
      </c>
      <c r="K198" s="39">
        <f>Engagement_Summary[[#This Row],[New_Followers]]-Engagement_Summary[[#This Row],[Unfollows]]</f>
        <v>1656</v>
      </c>
    </row>
    <row r="199" spans="10:11" x14ac:dyDescent="0.2">
      <c r="J199" s="38">
        <v>20042</v>
      </c>
      <c r="K199" s="38">
        <f>Engagement_Summary[[#This Row],[New_Followers]]-Engagement_Summary[[#This Row],[Unfollows]]</f>
        <v>407</v>
      </c>
    </row>
    <row r="200" spans="10:11" x14ac:dyDescent="0.2">
      <c r="J200" s="39">
        <v>49400</v>
      </c>
      <c r="K200" s="39">
        <f>Engagement_Summary[[#This Row],[New_Followers]]-Engagement_Summary[[#This Row],[Unfollows]]</f>
        <v>269</v>
      </c>
    </row>
    <row r="201" spans="10:11" x14ac:dyDescent="0.2">
      <c r="J201" s="38">
        <v>4007</v>
      </c>
      <c r="K201" s="38">
        <f>Engagement_Summary[[#This Row],[New_Followers]]-Engagement_Summary[[#This Row],[Unfollows]]</f>
        <v>-337</v>
      </c>
    </row>
    <row r="202" spans="10:11" x14ac:dyDescent="0.2">
      <c r="J202" s="39">
        <v>12174</v>
      </c>
      <c r="K202" s="39">
        <f>Engagement_Summary[[#This Row],[New_Followers]]-Engagement_Summary[[#This Row],[Unfollows]]</f>
        <v>0</v>
      </c>
    </row>
  </sheetData>
  <mergeCells count="2">
    <mergeCell ref="J1:J2"/>
    <mergeCell ref="K1:K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78FE5-3B66-704F-8C52-E5682FE10A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Posts</vt:lpstr>
      <vt:lpstr>Engagement Summary</vt:lpstr>
      <vt:lpstr>Campaign Metadata</vt:lpstr>
      <vt:lpstr>Task 2</vt:lpstr>
      <vt:lpstr>Task 3</vt:lpstr>
      <vt:lpstr>Task 4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Satyajeet</dc:creator>
  <cp:lastModifiedBy>Anand, Satyajeet</cp:lastModifiedBy>
  <dcterms:created xsi:type="dcterms:W3CDTF">2026-03-23T20:38:22Z</dcterms:created>
  <dcterms:modified xsi:type="dcterms:W3CDTF">2026-03-29T19:08:15Z</dcterms:modified>
</cp:coreProperties>
</file>